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esosa\Downloads\"/>
    </mc:Choice>
  </mc:AlternateContent>
  <xr:revisionPtr revIDLastSave="0" documentId="13_ncr:1_{DC3F18B3-13F1-40AE-9BDB-821EC2E3A8BF}" xr6:coauthVersionLast="47" xr6:coauthVersionMax="47" xr10:uidLastSave="{00000000-0000-0000-0000-000000000000}"/>
  <bookViews>
    <workbookView xWindow="-110" yWindow="-110" windowWidth="19420" windowHeight="11500" tabRatio="800" xr2:uid="{D0DF925F-50B1-46F3-9AA1-3BA25539C784}"/>
  </bookViews>
  <sheets>
    <sheet name="00_Project_Guide" sheetId="1" r:id="rId1"/>
    <sheet name="10_Dashboard" sheetId="13" r:id="rId2"/>
    <sheet name="11_Findings" sheetId="16" r:id="rId3"/>
    <sheet name="01_Firm_Selection" sheetId="6" r:id="rId4"/>
    <sheet name="02_Raw_Opened" sheetId="2" r:id="rId5"/>
    <sheet name="03_Raw_Closed" sheetId="3" r:id="rId6"/>
    <sheet name="04_Raw_3Day" sheetId="9" r:id="rId7"/>
    <sheet name="05_Raw_3to8Weeks" sheetId="5" r:id="rId8"/>
    <sheet name="06_Raw_Upheld" sheetId="7" r:id="rId9"/>
    <sheet name="07_Raw_Context" sheetId="8" r:id="rId10"/>
    <sheet name="08_Master_Analysis" sheetId="11" r:id="rId11"/>
    <sheet name="09_Dashboard_Data" sheetId="12" r:id="rId12"/>
  </sheets>
  <definedNames>
    <definedName name="Slicer_Firm">#N/A</definedName>
  </definedNames>
  <calcPr calcId="191029"/>
  <pivotCaches>
    <pivotCache cacheId="5"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2" i="11" l="1" a="1"/>
  <c r="P3" i="11" a="1"/>
  <c r="P4" i="11" a="1"/>
  <c r="P5" i="11" a="1"/>
  <c r="P6" i="11" a="1"/>
  <c r="P7" i="11" a="1"/>
  <c r="P8" i="11" a="1"/>
  <c r="P9" i="11" a="1"/>
  <c r="P10" i="11" a="1"/>
  <c r="P11" i="11" a="1"/>
  <c r="P12" i="11" a="1"/>
  <c r="P13" i="11" a="1"/>
  <c r="P14" i="11" a="1"/>
  <c r="P15" i="11" a="1"/>
  <c r="P16" i="11" a="1"/>
  <c r="N3" i="11"/>
  <c r="O2" i="11" s="1"/>
  <c r="O4" i="11"/>
  <c r="O5" i="11"/>
  <c r="O8" i="11"/>
  <c r="O9" i="11"/>
  <c r="O12" i="11"/>
  <c r="O13" i="11"/>
  <c r="O14" i="11"/>
  <c r="O16" i="11"/>
  <c r="N2" i="11"/>
  <c r="N4" i="11"/>
  <c r="N5" i="11"/>
  <c r="N6" i="11"/>
  <c r="N7" i="11"/>
  <c r="N8" i="11"/>
  <c r="N9" i="11"/>
  <c r="N10" i="11"/>
  <c r="N11" i="11"/>
  <c r="N12" i="11"/>
  <c r="N13" i="11"/>
  <c r="N14" i="11"/>
  <c r="N15" i="11"/>
  <c r="N16" i="11"/>
  <c r="M2" i="11"/>
  <c r="M3" i="11"/>
  <c r="M4" i="11"/>
  <c r="M5" i="11"/>
  <c r="M6" i="11"/>
  <c r="M7" i="11"/>
  <c r="M8" i="11"/>
  <c r="M9" i="11"/>
  <c r="M10" i="11"/>
  <c r="M11" i="11"/>
  <c r="M12" i="11"/>
  <c r="M13" i="11"/>
  <c r="M14" i="11"/>
  <c r="M15" i="11"/>
  <c r="M16" i="11"/>
  <c r="L3" i="11"/>
  <c r="L2" i="11"/>
  <c r="L4" i="11"/>
  <c r="L5" i="11"/>
  <c r="L6" i="11"/>
  <c r="L7" i="11"/>
  <c r="L8" i="11"/>
  <c r="L9" i="11"/>
  <c r="L10" i="11"/>
  <c r="L11" i="11"/>
  <c r="L12" i="11"/>
  <c r="L13" i="11"/>
  <c r="L14" i="11"/>
  <c r="L15" i="11"/>
  <c r="L16" i="11"/>
  <c r="J2" i="11"/>
  <c r="J3" i="11"/>
  <c r="J4" i="11"/>
  <c r="J5" i="11"/>
  <c r="J6" i="11"/>
  <c r="J7" i="11"/>
  <c r="J8" i="11"/>
  <c r="J9" i="11"/>
  <c r="J10" i="11"/>
  <c r="J11" i="11"/>
  <c r="J12" i="11"/>
  <c r="J13" i="11"/>
  <c r="J14" i="11"/>
  <c r="J15" i="11"/>
  <c r="J16" i="11"/>
  <c r="I2" i="11"/>
  <c r="I3" i="11"/>
  <c r="I4" i="11"/>
  <c r="I5" i="11"/>
  <c r="I6" i="11"/>
  <c r="I7" i="11"/>
  <c r="I8" i="11"/>
  <c r="I9" i="11"/>
  <c r="I10" i="11"/>
  <c r="I11" i="11"/>
  <c r="I12" i="11"/>
  <c r="I13" i="11"/>
  <c r="I14" i="11"/>
  <c r="I15" i="11"/>
  <c r="I16" i="11"/>
  <c r="K2" i="11"/>
  <c r="K3" i="11"/>
  <c r="K4" i="11"/>
  <c r="K5" i="11"/>
  <c r="K6" i="11"/>
  <c r="K7" i="11"/>
  <c r="K8" i="11"/>
  <c r="K9" i="11"/>
  <c r="K10" i="11"/>
  <c r="K11" i="11"/>
  <c r="K12" i="11"/>
  <c r="K13" i="11"/>
  <c r="K14" i="11"/>
  <c r="K15" i="11"/>
  <c r="K16" i="11"/>
  <c r="H2" i="11"/>
  <c r="H3" i="11"/>
  <c r="H4" i="11"/>
  <c r="H5" i="11"/>
  <c r="H6" i="11"/>
  <c r="H7" i="11"/>
  <c r="H8" i="11"/>
  <c r="H9" i="11"/>
  <c r="H10" i="11"/>
  <c r="H11" i="11"/>
  <c r="H12" i="11"/>
  <c r="H13" i="11"/>
  <c r="H14" i="11"/>
  <c r="H15" i="11"/>
  <c r="H16" i="11"/>
  <c r="G2" i="11"/>
  <c r="G3" i="11"/>
  <c r="G4" i="11"/>
  <c r="G5" i="11"/>
  <c r="G6" i="11"/>
  <c r="G7" i="11"/>
  <c r="G8" i="11"/>
  <c r="G9" i="11"/>
  <c r="G10" i="11"/>
  <c r="G11" i="11"/>
  <c r="G12" i="11"/>
  <c r="G13" i="11"/>
  <c r="G14" i="11"/>
  <c r="G15" i="11"/>
  <c r="G16" i="11"/>
  <c r="E2" i="11"/>
  <c r="E3" i="11"/>
  <c r="E4" i="11"/>
  <c r="E5" i="11"/>
  <c r="E6" i="11"/>
  <c r="E7" i="11"/>
  <c r="E8" i="11"/>
  <c r="E9" i="11"/>
  <c r="E10" i="11"/>
  <c r="E11" i="11"/>
  <c r="E12" i="11"/>
  <c r="E13" i="11"/>
  <c r="E14" i="11"/>
  <c r="E15" i="11"/>
  <c r="E16" i="11"/>
  <c r="F2" i="11"/>
  <c r="F3" i="11"/>
  <c r="F4" i="11"/>
  <c r="F5" i="11"/>
  <c r="F6" i="11"/>
  <c r="F7" i="11"/>
  <c r="F8" i="11"/>
  <c r="F9" i="11"/>
  <c r="F10" i="11"/>
  <c r="F11" i="11"/>
  <c r="F12" i="11"/>
  <c r="F13" i="11"/>
  <c r="F14" i="11"/>
  <c r="F15" i="11"/>
  <c r="F16" i="11"/>
  <c r="D2" i="11"/>
  <c r="D3" i="11"/>
  <c r="D4" i="11"/>
  <c r="D5" i="11"/>
  <c r="D6" i="11"/>
  <c r="D7" i="11"/>
  <c r="D8" i="11"/>
  <c r="D9" i="11"/>
  <c r="D10" i="11"/>
  <c r="D11" i="11"/>
  <c r="D12" i="11"/>
  <c r="D13" i="11"/>
  <c r="D14" i="11"/>
  <c r="D15" i="11"/>
  <c r="D16" i="11"/>
  <c r="G60" i="6"/>
  <c r="G19" i="6"/>
  <c r="G76" i="6"/>
  <c r="G58" i="6"/>
  <c r="G10" i="6"/>
  <c r="G18" i="6"/>
  <c r="G4" i="6"/>
  <c r="G7" i="6"/>
  <c r="G100" i="6"/>
  <c r="H100" i="6" s="1"/>
  <c r="G102" i="6"/>
  <c r="H102" i="6" s="1"/>
  <c r="G72" i="6"/>
  <c r="G107" i="6"/>
  <c r="H107" i="6" s="1"/>
  <c r="G63" i="6"/>
  <c r="G110" i="6"/>
  <c r="H110" i="6" s="1"/>
  <c r="G81" i="6"/>
  <c r="G49" i="6"/>
  <c r="G26" i="6"/>
  <c r="G40" i="6"/>
  <c r="G118" i="6"/>
  <c r="H118" i="6" s="1"/>
  <c r="G122" i="6"/>
  <c r="H122" i="6" s="1"/>
  <c r="G30" i="6"/>
  <c r="G6" i="6"/>
  <c r="G128" i="6"/>
  <c r="H128" i="6" s="1"/>
  <c r="G129" i="6"/>
  <c r="H129" i="6" s="1"/>
  <c r="G80" i="6"/>
  <c r="G36" i="6"/>
  <c r="G24" i="6"/>
  <c r="G134" i="6"/>
  <c r="H134" i="6" s="1"/>
  <c r="G69" i="6"/>
  <c r="G59" i="6"/>
  <c r="G48" i="6"/>
  <c r="G34" i="6"/>
  <c r="G89" i="6"/>
  <c r="G145" i="6"/>
  <c r="H145" i="6" s="1"/>
  <c r="G21" i="6"/>
  <c r="G3" i="6"/>
  <c r="G152" i="6"/>
  <c r="H152" i="6" s="1"/>
  <c r="G79" i="6"/>
  <c r="G158" i="6"/>
  <c r="H158" i="6" s="1"/>
  <c r="F93" i="6"/>
  <c r="G93" i="6" s="1"/>
  <c r="H93" i="6" s="1"/>
  <c r="F20" i="6"/>
  <c r="G20" i="6" s="1"/>
  <c r="F60" i="6"/>
  <c r="F55" i="6"/>
  <c r="G55" i="6" s="1"/>
  <c r="F94" i="6"/>
  <c r="G94" i="6" s="1"/>
  <c r="H94" i="6" s="1"/>
  <c r="F95" i="6"/>
  <c r="G95" i="6" s="1"/>
  <c r="H95" i="6" s="1"/>
  <c r="F19" i="6"/>
  <c r="F53" i="6"/>
  <c r="G53" i="6" s="1"/>
  <c r="F96" i="6"/>
  <c r="G96" i="6" s="1"/>
  <c r="H96" i="6" s="1"/>
  <c r="F29" i="6"/>
  <c r="G29" i="6" s="1"/>
  <c r="F76" i="6"/>
  <c r="F51" i="6"/>
  <c r="G51" i="6" s="1"/>
  <c r="F35" i="6"/>
  <c r="G35" i="6" s="1"/>
  <c r="F97" i="6"/>
  <c r="G97" i="6" s="1"/>
  <c r="H97" i="6" s="1"/>
  <c r="F58" i="6"/>
  <c r="F28" i="6"/>
  <c r="G28" i="6" s="1"/>
  <c r="F12" i="6"/>
  <c r="G12" i="6" s="1"/>
  <c r="F39" i="6"/>
  <c r="G39" i="6" s="1"/>
  <c r="F10" i="6"/>
  <c r="F44" i="6"/>
  <c r="G44" i="6" s="1"/>
  <c r="F98" i="6"/>
  <c r="G98" i="6" s="1"/>
  <c r="H98" i="6" s="1"/>
  <c r="F2" i="6"/>
  <c r="G2" i="6" s="1"/>
  <c r="F18" i="6"/>
  <c r="F56" i="6"/>
  <c r="G56" i="6" s="1"/>
  <c r="F38" i="6"/>
  <c r="G38" i="6" s="1"/>
  <c r="F5" i="6"/>
  <c r="G5" i="6" s="1"/>
  <c r="F4" i="6"/>
  <c r="F74" i="6"/>
  <c r="G74" i="6" s="1"/>
  <c r="F91" i="6"/>
  <c r="G91" i="6" s="1"/>
  <c r="F75" i="6"/>
  <c r="G75" i="6" s="1"/>
  <c r="F7" i="6"/>
  <c r="F99" i="6"/>
  <c r="G99" i="6" s="1"/>
  <c r="H99" i="6" s="1"/>
  <c r="F73" i="6"/>
  <c r="G73" i="6" s="1"/>
  <c r="F85" i="6"/>
  <c r="G85" i="6" s="1"/>
  <c r="F100" i="6"/>
  <c r="F32" i="6"/>
  <c r="G32" i="6" s="1"/>
  <c r="F47" i="6"/>
  <c r="G47" i="6" s="1"/>
  <c r="F101" i="6"/>
  <c r="G101" i="6" s="1"/>
  <c r="H101" i="6" s="1"/>
  <c r="F102" i="6"/>
  <c r="F103" i="6"/>
  <c r="G103" i="6" s="1"/>
  <c r="H103" i="6" s="1"/>
  <c r="F64" i="6"/>
  <c r="G64" i="6" s="1"/>
  <c r="F104" i="6"/>
  <c r="G104" i="6" s="1"/>
  <c r="H104" i="6" s="1"/>
  <c r="F72" i="6"/>
  <c r="F86" i="6"/>
  <c r="G86" i="6" s="1"/>
  <c r="F105" i="6"/>
  <c r="G105" i="6" s="1"/>
  <c r="H105" i="6" s="1"/>
  <c r="F106" i="6"/>
  <c r="G106" i="6" s="1"/>
  <c r="H106" i="6" s="1"/>
  <c r="F107" i="6"/>
  <c r="F17" i="6"/>
  <c r="G17" i="6" s="1"/>
  <c r="F8" i="6"/>
  <c r="G8" i="6" s="1"/>
  <c r="F108" i="6"/>
  <c r="G108" i="6" s="1"/>
  <c r="H108" i="6" s="1"/>
  <c r="F63" i="6"/>
  <c r="F46" i="6"/>
  <c r="G46" i="6" s="1"/>
  <c r="F43" i="6"/>
  <c r="G43" i="6" s="1"/>
  <c r="F109" i="6"/>
  <c r="G109" i="6" s="1"/>
  <c r="H109" i="6" s="1"/>
  <c r="F110" i="6"/>
  <c r="F111" i="6"/>
  <c r="G111" i="6" s="1"/>
  <c r="H111" i="6" s="1"/>
  <c r="F9" i="6"/>
  <c r="G9" i="6" s="1"/>
  <c r="F112" i="6"/>
  <c r="G112" i="6" s="1"/>
  <c r="H112" i="6" s="1"/>
  <c r="F81" i="6"/>
  <c r="F22" i="6"/>
  <c r="G22" i="6" s="1"/>
  <c r="H22" i="6" s="1"/>
  <c r="F113" i="6"/>
  <c r="G113" i="6" s="1"/>
  <c r="H113" i="6" s="1"/>
  <c r="F114" i="6"/>
  <c r="G114" i="6" s="1"/>
  <c r="H114" i="6" s="1"/>
  <c r="F49" i="6"/>
  <c r="F61" i="6"/>
  <c r="G61" i="6" s="1"/>
  <c r="F115" i="6"/>
  <c r="G115" i="6" s="1"/>
  <c r="H115" i="6" s="1"/>
  <c r="F57" i="6"/>
  <c r="G57" i="6" s="1"/>
  <c r="F26" i="6"/>
  <c r="F67" i="6"/>
  <c r="G67" i="6" s="1"/>
  <c r="F50" i="6"/>
  <c r="G50" i="6" s="1"/>
  <c r="F116" i="6"/>
  <c r="G116" i="6" s="1"/>
  <c r="H116" i="6" s="1"/>
  <c r="F40" i="6"/>
  <c r="F13" i="6"/>
  <c r="G13" i="6" s="1"/>
  <c r="F11" i="6"/>
  <c r="G11" i="6" s="1"/>
  <c r="F117" i="6"/>
  <c r="G117" i="6" s="1"/>
  <c r="H117" i="6" s="1"/>
  <c r="F118" i="6"/>
  <c r="F119" i="6"/>
  <c r="G119" i="6" s="1"/>
  <c r="H119" i="6" s="1"/>
  <c r="F120" i="6"/>
  <c r="G120" i="6" s="1"/>
  <c r="H120" i="6" s="1"/>
  <c r="F121" i="6"/>
  <c r="G121" i="6" s="1"/>
  <c r="H121" i="6" s="1"/>
  <c r="F122" i="6"/>
  <c r="F123" i="6"/>
  <c r="G123" i="6" s="1"/>
  <c r="H123" i="6" s="1"/>
  <c r="F124" i="6"/>
  <c r="G124" i="6" s="1"/>
  <c r="H124" i="6" s="1"/>
  <c r="F125" i="6"/>
  <c r="G125" i="6" s="1"/>
  <c r="H125" i="6" s="1"/>
  <c r="F30" i="6"/>
  <c r="F62" i="6"/>
  <c r="G62" i="6" s="1"/>
  <c r="F126" i="6"/>
  <c r="G126" i="6" s="1"/>
  <c r="H126" i="6" s="1"/>
  <c r="F41" i="6"/>
  <c r="G41" i="6" s="1"/>
  <c r="F6" i="6"/>
  <c r="F14" i="6"/>
  <c r="G14" i="6" s="1"/>
  <c r="H14" i="6" s="1"/>
  <c r="F70" i="6"/>
  <c r="G70" i="6" s="1"/>
  <c r="F127" i="6"/>
  <c r="G127" i="6" s="1"/>
  <c r="H127" i="6" s="1"/>
  <c r="F128" i="6"/>
  <c r="F77" i="6"/>
  <c r="G77" i="6" s="1"/>
  <c r="F84" i="6"/>
  <c r="G84" i="6" s="1"/>
  <c r="F42" i="6"/>
  <c r="G42" i="6" s="1"/>
  <c r="F129" i="6"/>
  <c r="F66" i="6"/>
  <c r="G66" i="6" s="1"/>
  <c r="F130" i="6"/>
  <c r="G130" i="6" s="1"/>
  <c r="H130" i="6" s="1"/>
  <c r="F16" i="6"/>
  <c r="G16" i="6" s="1"/>
  <c r="F80" i="6"/>
  <c r="F27" i="6"/>
  <c r="G27" i="6" s="1"/>
  <c r="F54" i="6"/>
  <c r="G54" i="6" s="1"/>
  <c r="F131" i="6"/>
  <c r="G131" i="6" s="1"/>
  <c r="H131" i="6" s="1"/>
  <c r="F36" i="6"/>
  <c r="F132" i="6"/>
  <c r="G132" i="6" s="1"/>
  <c r="H132" i="6" s="1"/>
  <c r="F71" i="6"/>
  <c r="G71" i="6" s="1"/>
  <c r="F25" i="6"/>
  <c r="G25" i="6" s="1"/>
  <c r="F24" i="6"/>
  <c r="F90" i="6"/>
  <c r="G90" i="6" s="1"/>
  <c r="F52" i="6"/>
  <c r="G52" i="6" s="1"/>
  <c r="F133" i="6"/>
  <c r="G133" i="6" s="1"/>
  <c r="H133" i="6" s="1"/>
  <c r="F134" i="6"/>
  <c r="F135" i="6"/>
  <c r="G135" i="6" s="1"/>
  <c r="H135" i="6" s="1"/>
  <c r="F136" i="6"/>
  <c r="G136" i="6" s="1"/>
  <c r="H136" i="6" s="1"/>
  <c r="F137" i="6"/>
  <c r="G137" i="6" s="1"/>
  <c r="H137" i="6" s="1"/>
  <c r="F69" i="6"/>
  <c r="F65" i="6"/>
  <c r="G65" i="6" s="1"/>
  <c r="F138" i="6"/>
  <c r="G138" i="6" s="1"/>
  <c r="H138" i="6" s="1"/>
  <c r="F33" i="6"/>
  <c r="G33" i="6" s="1"/>
  <c r="F59" i="6"/>
  <c r="F78" i="6"/>
  <c r="G78" i="6" s="1"/>
  <c r="F87" i="6"/>
  <c r="G87" i="6" s="1"/>
  <c r="F68" i="6"/>
  <c r="G68" i="6" s="1"/>
  <c r="F48" i="6"/>
  <c r="F139" i="6"/>
  <c r="G139" i="6" s="1"/>
  <c r="H139" i="6" s="1"/>
  <c r="F140" i="6"/>
  <c r="G140" i="6" s="1"/>
  <c r="H140" i="6" s="1"/>
  <c r="F141" i="6"/>
  <c r="G141" i="6" s="1"/>
  <c r="H141" i="6" s="1"/>
  <c r="F34" i="6"/>
  <c r="F142" i="6"/>
  <c r="G142" i="6" s="1"/>
  <c r="H142" i="6" s="1"/>
  <c r="F15" i="6"/>
  <c r="G15" i="6" s="1"/>
  <c r="F143" i="6"/>
  <c r="G143" i="6" s="1"/>
  <c r="H143" i="6" s="1"/>
  <c r="F89" i="6"/>
  <c r="F144" i="6"/>
  <c r="G144" i="6" s="1"/>
  <c r="H144" i="6" s="1"/>
  <c r="F45" i="6"/>
  <c r="G45" i="6" s="1"/>
  <c r="F31" i="6"/>
  <c r="G31" i="6" s="1"/>
  <c r="F145" i="6"/>
  <c r="F92" i="6"/>
  <c r="G92" i="6" s="1"/>
  <c r="F83" i="6"/>
  <c r="G83" i="6" s="1"/>
  <c r="F146" i="6"/>
  <c r="G146" i="6" s="1"/>
  <c r="H146" i="6" s="1"/>
  <c r="F21" i="6"/>
  <c r="F147" i="6"/>
  <c r="G147" i="6" s="1"/>
  <c r="H147" i="6" s="1"/>
  <c r="F148" i="6"/>
  <c r="G148" i="6" s="1"/>
  <c r="H148" i="6" s="1"/>
  <c r="F82" i="6"/>
  <c r="G82" i="6" s="1"/>
  <c r="F3" i="6"/>
  <c r="F149" i="6"/>
  <c r="G149" i="6" s="1"/>
  <c r="H149" i="6" s="1"/>
  <c r="F150" i="6"/>
  <c r="G150" i="6" s="1"/>
  <c r="H150" i="6" s="1"/>
  <c r="F151" i="6"/>
  <c r="G151" i="6" s="1"/>
  <c r="H151" i="6" s="1"/>
  <c r="F152" i="6"/>
  <c r="F153" i="6"/>
  <c r="G153" i="6" s="1"/>
  <c r="H153" i="6" s="1"/>
  <c r="F154" i="6"/>
  <c r="G154" i="6" s="1"/>
  <c r="H154" i="6" s="1"/>
  <c r="F155" i="6"/>
  <c r="G155" i="6" s="1"/>
  <c r="H155" i="6" s="1"/>
  <c r="F79" i="6"/>
  <c r="F156" i="6"/>
  <c r="G156" i="6" s="1"/>
  <c r="H156" i="6" s="1"/>
  <c r="F157" i="6"/>
  <c r="G157" i="6" s="1"/>
  <c r="H157" i="6" s="1"/>
  <c r="F88" i="6"/>
  <c r="G88" i="6" s="1"/>
  <c r="H88" i="6" s="1"/>
  <c r="F158" i="6"/>
  <c r="F37" i="6"/>
  <c r="G37" i="6" s="1"/>
  <c r="F23" i="6"/>
  <c r="G23" i="6" s="1"/>
  <c r="O15" i="11" l="1"/>
  <c r="O11" i="11"/>
  <c r="O7" i="11"/>
  <c r="O3" i="11"/>
  <c r="O10" i="11"/>
  <c r="O6" i="11"/>
  <c r="H68" i="6"/>
  <c r="H33" i="6"/>
  <c r="H25" i="6"/>
  <c r="H16" i="6"/>
  <c r="H42" i="6"/>
  <c r="H41" i="6"/>
  <c r="H57" i="6"/>
  <c r="H85" i="6"/>
  <c r="H75" i="6"/>
  <c r="H5" i="6"/>
  <c r="H2" i="6"/>
  <c r="H39" i="6"/>
  <c r="H29" i="6"/>
  <c r="H20" i="6"/>
  <c r="H89" i="6"/>
  <c r="H69" i="6"/>
  <c r="H80" i="6"/>
  <c r="H30" i="6"/>
  <c r="H26" i="6"/>
  <c r="H63" i="6"/>
  <c r="H10" i="6"/>
  <c r="H60" i="6"/>
  <c r="H31" i="6"/>
  <c r="H23" i="6"/>
  <c r="H83" i="6"/>
  <c r="H87" i="6"/>
  <c r="H54" i="6"/>
  <c r="H70" i="6"/>
  <c r="H11" i="6"/>
  <c r="H50" i="6"/>
  <c r="H9" i="6"/>
  <c r="H43" i="6"/>
  <c r="H8" i="6"/>
  <c r="H64" i="6"/>
  <c r="H47" i="6"/>
  <c r="H73" i="6"/>
  <c r="H91" i="6"/>
  <c r="H38" i="6"/>
  <c r="H12" i="6"/>
  <c r="H35" i="6"/>
  <c r="H3" i="6"/>
  <c r="H34" i="6"/>
  <c r="H49" i="6"/>
  <c r="H7" i="6"/>
  <c r="H58" i="6"/>
  <c r="H82" i="6"/>
  <c r="H45" i="6"/>
  <c r="H71" i="6"/>
  <c r="H37" i="6"/>
  <c r="H78" i="6"/>
  <c r="H90" i="6"/>
  <c r="H27" i="6"/>
  <c r="H77" i="6"/>
  <c r="H67" i="6"/>
  <c r="H46" i="6"/>
  <c r="H86" i="6"/>
  <c r="H74" i="6"/>
  <c r="H56" i="6"/>
  <c r="H28" i="6"/>
  <c r="H51" i="6"/>
  <c r="H53" i="6"/>
  <c r="H55" i="6"/>
  <c r="H21" i="6"/>
  <c r="H48" i="6"/>
  <c r="H24" i="6"/>
  <c r="H81" i="6"/>
  <c r="H72" i="6"/>
  <c r="H4" i="6"/>
  <c r="H76" i="6"/>
  <c r="H15" i="6"/>
  <c r="H52" i="6"/>
  <c r="H84" i="6"/>
  <c r="H92" i="6"/>
  <c r="H65" i="6"/>
  <c r="H66" i="6"/>
  <c r="H62" i="6"/>
  <c r="H13" i="6"/>
  <c r="H61" i="6"/>
  <c r="H17" i="6"/>
  <c r="H32" i="6"/>
  <c r="H44" i="6"/>
  <c r="H79" i="6"/>
  <c r="H59" i="6"/>
  <c r="H36" i="6"/>
  <c r="H6" i="6"/>
  <c r="H40" i="6"/>
  <c r="H18" i="6"/>
  <c r="H1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<sst xmlns="http://schemas.openxmlformats.org/spreadsheetml/2006/main" count="6149" uniqueCount="478">
  <si>
    <t>Field</t>
  </si>
  <si>
    <t>Information</t>
  </si>
  <si>
    <t>UK Insurance Complaints Performance Analysis</t>
  </si>
  <si>
    <t>Dataset</t>
  </si>
  <si>
    <t>2025 H2</t>
  </si>
  <si>
    <t>Insurance &amp; Pure Protection</t>
  </si>
  <si>
    <t>Project title</t>
  </si>
  <si>
    <t>Reporting period</t>
  </si>
  <si>
    <t>Product group</t>
  </si>
  <si>
    <t>Number of selected firms</t>
  </si>
  <si>
    <t>Date downloaded</t>
  </si>
  <si>
    <t>Workbook version</t>
  </si>
  <si>
    <t>Version 1.0</t>
  </si>
  <si>
    <t>UK INSURANCE COMPLAINTS PERFORMANCE ANALYSIS</t>
  </si>
  <si>
    <t xml:space="preserve"> </t>
  </si>
  <si>
    <t>Which selected UK insurers appear to be handling customer complaints most effectively, and which firms show potential areas for review?</t>
  </si>
  <si>
    <t>PROJECT QUESTION</t>
  </si>
  <si>
    <t>Effectiveness will be assessed using complaints per 1,000 policies and the percentage of complaints closed within eight weeks.</t>
  </si>
  <si>
    <t>FIRM-SELECTION RULES</t>
  </si>
  <si>
    <t>Reporting period must be 1 July–31 December 2025</t>
  </si>
  <si>
    <t>The firm must report complaints under the FCA’s Insurance &amp; Pure Protection product group</t>
  </si>
  <si>
    <t>Joint Reporting must be recorded as “No”</t>
  </si>
  <si>
    <t>Context A data showing complaints per 1,000 policies must be available</t>
  </si>
  <si>
    <t>MAIN MEASURES</t>
  </si>
  <si>
    <r>
      <rPr>
        <sz val="11"/>
        <color theme="1"/>
        <rFont val="Aptos Narrow"/>
        <family val="2"/>
      </rPr>
      <t xml:space="preserve">• </t>
    </r>
    <r>
      <rPr>
        <sz val="11"/>
        <color theme="1"/>
        <rFont val="Aptos Narrow"/>
        <family val="2"/>
        <scheme val="minor"/>
      </rPr>
      <t>Complaints opened</t>
    </r>
  </si>
  <si>
    <t>• Complaints per 1,000 policies</t>
  </si>
  <si>
    <t>• Percentage closed within eight weeks</t>
  </si>
  <si>
    <t>• Percentage upheld</t>
  </si>
  <si>
    <t>• Complaints closed</t>
  </si>
  <si>
    <t>• Percentage closed within three days</t>
  </si>
  <si>
    <t>• Composite performance rank</t>
  </si>
  <si>
    <t>• Percentage closed after eight weeks</t>
  </si>
  <si>
    <t>RANKING METHOD</t>
  </si>
  <si>
    <t>The core performance score will give equal weight to complaints per 1,000 policies and the percentage of complaints closed within eight weeks. A lower score will indicate a stronger combined ranking. The upheld rate will be shown separately because a high or low uphold rate is not automatically evidence of good or poor complaint handling.</t>
  </si>
  <si>
    <t>SOURCE LOG</t>
  </si>
  <si>
    <t>Source</t>
  </si>
  <si>
    <t>Publisher</t>
  </si>
  <si>
    <t>Period</t>
  </si>
  <si>
    <t>Date accessed</t>
  </si>
  <si>
    <t>How it was used</t>
  </si>
  <si>
    <t>Firm-Level Complaints Data</t>
  </si>
  <si>
    <t>Financial Conduct Authority (FCA)</t>
  </si>
  <si>
    <t>Main source data</t>
  </si>
  <si>
    <t>About the Complaints Data</t>
  </si>
  <si>
    <t>N/A</t>
  </si>
  <si>
    <t>Definitions and limitations</t>
  </si>
  <si>
    <t>INITIAL LIMITATIONS</t>
  </si>
  <si>
    <t>• Firms may offer different types of insurance products, making them imperfect comparisons</t>
  </si>
  <si>
    <t>• Complaint volumes must be considered relative to the number of policies rather than alone</t>
  </si>
  <si>
    <t>• The data only covers one six-month reporting period and does not establish long-term performance</t>
  </si>
  <si>
    <t>• A high or low uphold rate is not automatically positive or negative</t>
  </si>
  <si>
    <t>• The analysis identifies patterns for possible review and does not prove wrongdoing</t>
  </si>
  <si>
    <t>Firm Name</t>
  </si>
  <si>
    <t>Group</t>
  </si>
  <si>
    <t>Joint Reporting</t>
  </si>
  <si>
    <t>Banking and credit cards</t>
  </si>
  <si>
    <t>Decumulation &amp; pensions</t>
  </si>
  <si>
    <t>Home finance</t>
  </si>
  <si>
    <t>Insurance &amp; pure protection</t>
  </si>
  <si>
    <t>Investments</t>
  </si>
  <si>
    <t>Grand Total</t>
  </si>
  <si>
    <t>Accord Mortgages Limited</t>
  </si>
  <si>
    <t>YORKSHIRE BUILDING SOCIETY</t>
  </si>
  <si>
    <t>no</t>
  </si>
  <si>
    <t>2025-07-01 to 2025-12-31</t>
  </si>
  <si>
    <t>Accredited Insurance (Europe) Ltd</t>
  </si>
  <si>
    <t>ACCREDITED GROUP</t>
  </si>
  <si>
    <t>Acm Ulr Limited</t>
  </si>
  <si>
    <t>MARKERSTUDY GROUP</t>
  </si>
  <si>
    <t>ACORN INSURANCE AND FINANCIAL SERVICES LIMITED</t>
  </si>
  <si>
    <t>ACORN GROUP</t>
  </si>
  <si>
    <t>Acromas Insurance Company Limited</t>
  </si>
  <si>
    <t>SAGA PLC</t>
  </si>
  <si>
    <t>2025-02-01 to 2025-07-31</t>
  </si>
  <si>
    <t>Admiral Financial Services Limited</t>
  </si>
  <si>
    <t>ADMIRAL GROUP PLC</t>
  </si>
  <si>
    <t>Adrian Flux Insurance Services Group</t>
  </si>
  <si>
    <t>NO GROUP</t>
  </si>
  <si>
    <t>2025-04-01 to 2025-09-30</t>
  </si>
  <si>
    <t>Advisory Insurance Brokers Limited</t>
  </si>
  <si>
    <t>ARDONAGH GROUP LIMITED</t>
  </si>
  <si>
    <t>Ageas Insurance Limited</t>
  </si>
  <si>
    <t>AGEAS SA-NV</t>
  </si>
  <si>
    <t>Ageas Retail Limited</t>
  </si>
  <si>
    <t>Aioi Nissay Dowa Insurance UK Limited</t>
  </si>
  <si>
    <t>AIOI NISSAY DOWA EUROPE LIMITED</t>
  </si>
  <si>
    <t>yes</t>
  </si>
  <si>
    <t>AJ Bell Management Limited</t>
  </si>
  <si>
    <t>AJ BELL GROUP</t>
  </si>
  <si>
    <t>AJ Bell Securities Limited</t>
  </si>
  <si>
    <t>Aldermore Bank Plc</t>
  </si>
  <si>
    <t>FIRSTRAND LIMITED</t>
  </si>
  <si>
    <t>Allianz Insurance Plc</t>
  </si>
  <si>
    <t>ALLIANZ GROUP</t>
  </si>
  <si>
    <t>AMERICAN EXPRESS SERVICES EUROPE LIMITED</t>
  </si>
  <si>
    <t>AMERICAN EXPRESS</t>
  </si>
  <si>
    <t>AMERICAN INTERNATIONAL GROUP UK LIMITED</t>
  </si>
  <si>
    <t>AMERICAN INTERNATIONAL GROUP, INC. (AIG)</t>
  </si>
  <si>
    <t>AmTrust Specialty Limited</t>
  </si>
  <si>
    <t>AMTRUST INTERNATIONAL</t>
  </si>
  <si>
    <t>ANIMAL FRIENDS INSURANCE SERVICES LIMITED</t>
  </si>
  <si>
    <t>Antares Insurance Company Limited</t>
  </si>
  <si>
    <t>QIC CAPITAL LLC</t>
  </si>
  <si>
    <t>ARAG Legal Expenses Insurance Company Limited</t>
  </si>
  <si>
    <t>ARAG PLC</t>
  </si>
  <si>
    <t>Arthur J. Gallagher Insurance Brokers Limited</t>
  </si>
  <si>
    <t>GALLAGHER GROUP</t>
  </si>
  <si>
    <t>Ascent Performance Group Limited</t>
  </si>
  <si>
    <t>not on previous list</t>
  </si>
  <si>
    <t>2025-05-01 to 2025-10-31</t>
  </si>
  <si>
    <t>Assurant General Insurance Limited</t>
  </si>
  <si>
    <t>ASSURANT INC</t>
  </si>
  <si>
    <t>Astrenska Insurance Limited</t>
  </si>
  <si>
    <t>COLLINSON GROUP</t>
  </si>
  <si>
    <t>Asurion Europe Limited</t>
  </si>
  <si>
    <t>ASURION</t>
  </si>
  <si>
    <t>Atlanta Insurance Intermediaries Limited</t>
  </si>
  <si>
    <t>Automobile Association Insurance Services Limited</t>
  </si>
  <si>
    <t>AUTOMOBILE ASSOCIATION (AA)</t>
  </si>
  <si>
    <t>Avantia Insurance Limited</t>
  </si>
  <si>
    <t>AVANTIA GROUP</t>
  </si>
  <si>
    <t>Aviva Health UK Limited</t>
  </si>
  <si>
    <t>AVIVA PLC</t>
  </si>
  <si>
    <t>Aviva Insurance Limited</t>
  </si>
  <si>
    <t>Aviva Life Services UK Limited</t>
  </si>
  <si>
    <t>Aviva Protection UK Limited</t>
  </si>
  <si>
    <t>AWP Assistance UK Ltd</t>
  </si>
  <si>
    <t>AWP P&amp;C S.A.</t>
  </si>
  <si>
    <t>AXA Insurance Designated Activity Company</t>
  </si>
  <si>
    <t>AXA GROUP</t>
  </si>
  <si>
    <t>AXA Insurance UK Plc</t>
  </si>
  <si>
    <t>AXA PPP Healthcare Limited</t>
  </si>
  <si>
    <t>Bank of Ireland (UK) Plc</t>
  </si>
  <si>
    <t>BANK OF IRELAND GROUP</t>
  </si>
  <si>
    <t>Bank of Scotland plc</t>
  </si>
  <si>
    <t>LLOYDS BANKING GROUP PLC</t>
  </si>
  <si>
    <t>Barclays Bank Plc</t>
  </si>
  <si>
    <t>BARCLAYS GROUP</t>
  </si>
  <si>
    <t>Barclays Bank UK PLC</t>
  </si>
  <si>
    <t>BISL Limited</t>
  </si>
  <si>
    <t>British Gas Services Limited</t>
  </si>
  <si>
    <t>BRITISH GAS</t>
  </si>
  <si>
    <t>BUPA Insurance Services Limited</t>
  </si>
  <si>
    <t>BUPA GROUP</t>
  </si>
  <si>
    <t>Cabot Credit Management Group Limited</t>
  </si>
  <si>
    <t>ENCORE CAPITAL GROUP</t>
  </si>
  <si>
    <t>CAF BANK LIMITED</t>
  </si>
  <si>
    <t>CHARITIES AID FOUNDATION</t>
  </si>
  <si>
    <t>CALL ASSIST LIMITED</t>
  </si>
  <si>
    <t>Canada Life Limited</t>
  </si>
  <si>
    <t>CANADA LIFE</t>
  </si>
  <si>
    <t>Capital One (Europe) plc</t>
  </si>
  <si>
    <t>CAPITAL ONE FINANCIAL CORPORATION</t>
  </si>
  <si>
    <t>Car Care Plan Limited</t>
  </si>
  <si>
    <t>Carfinance247 Limited</t>
  </si>
  <si>
    <t>247 MONEY GROUP</t>
  </si>
  <si>
    <t>Carmoola Limited</t>
  </si>
  <si>
    <t>CAROLE NASH INSURANCE CONSULTANTS LIMITED</t>
  </si>
  <si>
    <t>Castelan Limited</t>
  </si>
  <si>
    <t>CASTELAN GROUP</t>
  </si>
  <si>
    <t>Casualty &amp; General Insurance Company (Europe) Ltd</t>
  </si>
  <si>
    <t>Charter Court Financial Services Limited</t>
  </si>
  <si>
    <t>CHARTER COURT FINANCIAL SERVICES GROUP PLC</t>
  </si>
  <si>
    <t>Chubb European Group SE</t>
  </si>
  <si>
    <t>CHUBB LIMITED</t>
  </si>
  <si>
    <t>ClearBank Limited</t>
  </si>
  <si>
    <t>CLEARBANK GROUP</t>
  </si>
  <si>
    <t>Close Brothers Limited</t>
  </si>
  <si>
    <t>CLOSE BROTHERS GROUP PLC</t>
  </si>
  <si>
    <t>Clydesdale Bank Plc</t>
  </si>
  <si>
    <t>NATIONWIDE BUILDING SOCIETY</t>
  </si>
  <si>
    <t>Cofunds Limited</t>
  </si>
  <si>
    <t>AEGON N.V.</t>
  </si>
  <si>
    <t>Complete Cover Group Ltd</t>
  </si>
  <si>
    <t>COMPLETE COVER GROUP</t>
  </si>
  <si>
    <t>Connells Limited</t>
  </si>
  <si>
    <t>SKIPTON BUILDING SOCIETY</t>
  </si>
  <si>
    <t>Countrywide Assured Plc</t>
  </si>
  <si>
    <t>CHESNARA PLC</t>
  </si>
  <si>
    <t>Coutts &amp; Company</t>
  </si>
  <si>
    <t>NATWEST GROUP</t>
  </si>
  <si>
    <t>Covea Insurance plc</t>
  </si>
  <si>
    <t>COVEA GROUP</t>
  </si>
  <si>
    <t>Coventry Building Society</t>
  </si>
  <si>
    <t>COVENTRY BUILDING SOCIETY</t>
  </si>
  <si>
    <t>CREATION CONSUMER FINANCE LIMITED</t>
  </si>
  <si>
    <t>BNP PARIBAS GROUP</t>
  </si>
  <si>
    <t>Cynergy Bank Plc</t>
  </si>
  <si>
    <t>CYNERGY CAPITAL LTD</t>
  </si>
  <si>
    <t>Domestic &amp; General Insurance Plc</t>
  </si>
  <si>
    <t>DOMESTIC &amp; GENERAL GROUP</t>
  </si>
  <si>
    <t>EBS Pensions Limited</t>
  </si>
  <si>
    <t>Elderbridge Limited</t>
  </si>
  <si>
    <t>TECH MAHINDRA LIMITED</t>
  </si>
  <si>
    <t>Embark Investment Services Limited</t>
  </si>
  <si>
    <t>Embark Services Limited</t>
  </si>
  <si>
    <t>Equiniti Financial Services Limited</t>
  </si>
  <si>
    <t>EQUINITI GROUP PLC</t>
  </si>
  <si>
    <t>ERGO TRAVEL INSURANCE SERVICES LTD</t>
  </si>
  <si>
    <t>MUNICH RE</t>
  </si>
  <si>
    <t>esure Insurance Limited</t>
  </si>
  <si>
    <t>ESURE GROUP PLC</t>
  </si>
  <si>
    <t>ETORO (UK) LIMITED</t>
  </si>
  <si>
    <t>ETORO GROUP LTD</t>
  </si>
  <si>
    <t>EUI Limited</t>
  </si>
  <si>
    <t>Eversure Limited</t>
  </si>
  <si>
    <t>Evolution Insurance Company Limited</t>
  </si>
  <si>
    <t>Exeter Friendly Society Limited</t>
  </si>
  <si>
    <t>Experian Limited</t>
  </si>
  <si>
    <t>EXPERIAN PLC</t>
  </si>
  <si>
    <t>Extracover Limited</t>
  </si>
  <si>
    <t>Family Equity Plan Limited</t>
  </si>
  <si>
    <t>FAMILY ASSURANCE FRIENDLY SOCIETY LTD</t>
  </si>
  <si>
    <t>FCE Bank Plc</t>
  </si>
  <si>
    <t>FORD MOTOR CO</t>
  </si>
  <si>
    <t>FIL Life Insurance Limited</t>
  </si>
  <si>
    <t>FIDELITY INTERNATIONAL GROUP</t>
  </si>
  <si>
    <t>Financial Administration Services Limited</t>
  </si>
  <si>
    <t>First Central Insurance Management Limited</t>
  </si>
  <si>
    <t>FIRST CENTRAL GROUP LIMITED</t>
  </si>
  <si>
    <t>FirstRand Bank Limited</t>
  </si>
  <si>
    <t>Forester Life Limited</t>
  </si>
  <si>
    <t>FORSTERS FINANCIAL</t>
  </si>
  <si>
    <t>Fortegra Europe Insurance Company Ltd</t>
  </si>
  <si>
    <t>TIPTREE INC</t>
  </si>
  <si>
    <t>Funding Circle Ltd</t>
  </si>
  <si>
    <t>Halifax Share Dealing Limited</t>
  </si>
  <si>
    <t>Hargreaves Lansdown Asset Management Limited</t>
  </si>
  <si>
    <t>HARGREAVES LANSDOWN LIMITED</t>
  </si>
  <si>
    <t>Hastings Insurance Services Limited</t>
  </si>
  <si>
    <t>HASTINGS GROUP</t>
  </si>
  <si>
    <t>HBOS Investment Fund Managers Limited</t>
  </si>
  <si>
    <t>HELVETIA GLOBAL SOLUTIONS LTD</t>
  </si>
  <si>
    <t>HELVETIA GROUP</t>
  </si>
  <si>
    <t>Highway Insurance Company Limited</t>
  </si>
  <si>
    <t>Home Retail Group Card Services Limited</t>
  </si>
  <si>
    <t>J SAINSBURY PLC</t>
  </si>
  <si>
    <t>2025-03-01 to 2025-08-31</t>
  </si>
  <si>
    <t>Homeserve Membership Limited</t>
  </si>
  <si>
    <t>Hood Travel Limited</t>
  </si>
  <si>
    <t>HOOD GROUP</t>
  </si>
  <si>
    <t>Howserv Limited</t>
  </si>
  <si>
    <t>STAYSURE HOLDINGS LTD</t>
  </si>
  <si>
    <t>HSBC UK Bank Plc</t>
  </si>
  <si>
    <t>HSBC GROUP</t>
  </si>
  <si>
    <t>I Go 4 Ltd.</t>
  </si>
  <si>
    <t>Ikano Bank AB (publ)</t>
  </si>
  <si>
    <t>INGKA GROUP</t>
  </si>
  <si>
    <t>INSURANCE FACTORY LIMITED</t>
  </si>
  <si>
    <t>INTACT INSURANCE UK LIMITED</t>
  </si>
  <si>
    <t>INTACT FINANCIAL CORPORATION</t>
  </si>
  <si>
    <t>Inter Partner Assistance SA</t>
  </si>
  <si>
    <t>Interactive Brokers (U.K.) Limited</t>
  </si>
  <si>
    <t>Interactive Investor Services Limited</t>
  </si>
  <si>
    <t>ABERDEEN GROUP</t>
  </si>
  <si>
    <t>J.P. Morgan Europe Limited</t>
  </si>
  <si>
    <t>JPMORGAN CHASE &amp; CO</t>
  </si>
  <si>
    <t>J.P. MORGAN PERSONAL INVESTING LIMITED</t>
  </si>
  <si>
    <t>JAMES HAY ADMINISTRATION COMPANY LIMITED</t>
  </si>
  <si>
    <t>JAMES HAY PARTNERSHIP</t>
  </si>
  <si>
    <t>Kensington Mortgage Company Limited</t>
  </si>
  <si>
    <t>Kroo Bank Ltd</t>
  </si>
  <si>
    <t>LeasePlan UK Limited</t>
  </si>
  <si>
    <t>SOCIETY GENERALE GROUP</t>
  </si>
  <si>
    <t>Leeds Building Society</t>
  </si>
  <si>
    <t>LEEDS BUILDING SOCIETY</t>
  </si>
  <si>
    <t>Legal and General Assurance Society Limited</t>
  </si>
  <si>
    <t>LEGAL &amp; GENERAL GROUP PLC</t>
  </si>
  <si>
    <t>Lexham Insurance Consultants Limited</t>
  </si>
  <si>
    <t>Link Financial Outsourcing Limited</t>
  </si>
  <si>
    <t>LINK FINANCIAL GROUP</t>
  </si>
  <si>
    <t>Liverpool Victoria Financial Services Limited</t>
  </si>
  <si>
    <t>LIVERPOOL VICTORIA GROUP</t>
  </si>
  <si>
    <t>Liverpool Victoria Insurance Company Limited</t>
  </si>
  <si>
    <t>Lloyds Bank General Insurance Limited</t>
  </si>
  <si>
    <t>Lloyds Bank PLC</t>
  </si>
  <si>
    <t>LONDON &amp; COUNTRY MORTGAGES LIMITED</t>
  </si>
  <si>
    <t>M &amp; G Securities Limited</t>
  </si>
  <si>
    <t>M&amp;G PLC</t>
  </si>
  <si>
    <t>ManyPets Ltd</t>
  </si>
  <si>
    <t>MARKS AND SPENCER FINANCIAL SERVICES PLC</t>
  </si>
  <si>
    <t>Marshmallow Financial Services Ltd</t>
  </si>
  <si>
    <t>MBNA Limited</t>
  </si>
  <si>
    <t>MetLife Europe d.a.c.</t>
  </si>
  <si>
    <t>METLIFE, INC.</t>
  </si>
  <si>
    <t>Metro Bank PLC</t>
  </si>
  <si>
    <t>Millennium Insurance Company Limited</t>
  </si>
  <si>
    <t>DSA GROUP</t>
  </si>
  <si>
    <t>Monzo Bank Ltd</t>
  </si>
  <si>
    <t>MONZO GROUP</t>
  </si>
  <si>
    <t>MotoNovo Finance Limited</t>
  </si>
  <si>
    <t>MUNICH RE DIGITAL PARTNERS LIMITED</t>
  </si>
  <si>
    <t>National House-Building Council</t>
  </si>
  <si>
    <t>NATIONAL WESTMINSTER BANK PUBLIC LIMITED COMPANY</t>
  </si>
  <si>
    <t>Nationwide Building Society</t>
  </si>
  <si>
    <t>Newcastle Building Society</t>
  </si>
  <si>
    <t>Northern Bank Limited</t>
  </si>
  <si>
    <t>DANSKE BANK A/S</t>
  </si>
  <si>
    <t>OCTOPUS MONEY UNIT TRUST MANAGERS LIMITED</t>
  </si>
  <si>
    <t>OCTOPUS MONEY</t>
  </si>
  <si>
    <t>One Call Insurance Services Limited</t>
  </si>
  <si>
    <t>One Sure Insurance Limited</t>
  </si>
  <si>
    <t>OneSavings Bank Plc</t>
  </si>
  <si>
    <t>OSB GROUP</t>
  </si>
  <si>
    <t>OVO HOME SERVICES LTD</t>
  </si>
  <si>
    <t>OVO GROUP</t>
  </si>
  <si>
    <t>Paragon Bank Plc</t>
  </si>
  <si>
    <t>PARAGON BANKING GROUP PLC</t>
  </si>
  <si>
    <t>People's Administration Services Limited</t>
  </si>
  <si>
    <t>PEOPLE'S PARTNERSHIP</t>
  </si>
  <si>
    <t>Pepper (UK) Limited</t>
  </si>
  <si>
    <t>PEPPER GROUP</t>
  </si>
  <si>
    <t>Phoenix Life CA Limited</t>
  </si>
  <si>
    <t>PHOENIX GROUP</t>
  </si>
  <si>
    <t>Phoenix Life Limited</t>
  </si>
  <si>
    <t>Pinnacle Insurance Limited</t>
  </si>
  <si>
    <t>Principality Building Society</t>
  </si>
  <si>
    <t>QBE UK Limited</t>
  </si>
  <si>
    <t>QBE INSURANCE GROUP</t>
  </si>
  <si>
    <t>Qmetric Group Limited</t>
  </si>
  <si>
    <t>QUILTER FINANCIAL SERVICES LIMITED</t>
  </si>
  <si>
    <t>QUILTER GROUP</t>
  </si>
  <si>
    <t>Quilter Investment Platform Limited</t>
  </si>
  <si>
    <t>Quilter Life &amp; Pensions Limited</t>
  </si>
  <si>
    <t>RAC FINANCIAL SERVICES LIMITED</t>
  </si>
  <si>
    <t>RAC GROUP</t>
  </si>
  <si>
    <t>RBS Collective Investment Funds Limited</t>
  </si>
  <si>
    <t>ReAssure Life Limited</t>
  </si>
  <si>
    <t>ReAssure Limited</t>
  </si>
  <si>
    <t>REASSURED LIMITED</t>
  </si>
  <si>
    <t>Rothesay Life Plc</t>
  </si>
  <si>
    <t>Royal London Mutual Insurance Society, Limited (THE)</t>
  </si>
  <si>
    <t>ROYAL LONDON GROUP</t>
  </si>
  <si>
    <t>Sabre Insurance Company Limited</t>
  </si>
  <si>
    <t>SABRE INSURANCE GROUP PLC</t>
  </si>
  <si>
    <t>Saga Services Limited</t>
  </si>
  <si>
    <t>Sainsbury's Bank Plc</t>
  </si>
  <si>
    <t>Santander UK Plc</t>
  </si>
  <si>
    <t>SANTANDER UK GROUP</t>
  </si>
  <si>
    <t>Scottish Equitable Plc</t>
  </si>
  <si>
    <t>Scottish Friendly Assurance Society Limited</t>
  </si>
  <si>
    <t>SCOTTISH WIDOWS LIMITED</t>
  </si>
  <si>
    <t>SECURE TRUST BANK PUBLIC LIMITED COMPANY</t>
  </si>
  <si>
    <t>Shawbrook Bank Limited</t>
  </si>
  <si>
    <t>SHAWBROOK GROUP PLC</t>
  </si>
  <si>
    <t>Shop Direct Finance Company Limited</t>
  </si>
  <si>
    <t>THE VERY GROUP</t>
  </si>
  <si>
    <t>Simplyhealth Access</t>
  </si>
  <si>
    <t>SIMPLYHEALTH GROUP LIMITED</t>
  </si>
  <si>
    <t>Skipton Building Society</t>
  </si>
  <si>
    <t>Society of Lloyd's</t>
  </si>
  <si>
    <t>SOCIETY OF LLOYD'S</t>
  </si>
  <si>
    <t>Somerset Bridge Insurance Services Limited</t>
  </si>
  <si>
    <t>SOMERSET BRIDGE GROUP</t>
  </si>
  <si>
    <t>ST. JAMES'S PLACE UK PLC</t>
  </si>
  <si>
    <t>ST. JAMES'S PLACE PLC</t>
  </si>
  <si>
    <t>St. James's Place Wealth Management Plc</t>
  </si>
  <si>
    <t>Starling Bank Limited</t>
  </si>
  <si>
    <t>Starr International (Europe) Limited</t>
  </si>
  <si>
    <t>STARR INTERNATIONAL COMPANY, INC.</t>
  </si>
  <si>
    <t>Swift 1st Limited</t>
  </si>
  <si>
    <t>SWIFT GROUP</t>
  </si>
  <si>
    <t>Telefonica Seguros y Reaseguros Compania Aseguradora S.A.U.</t>
  </si>
  <si>
    <t>TELEFONICA SA</t>
  </si>
  <si>
    <t>Telefonica UK Limited</t>
  </si>
  <si>
    <t>VIRGIN MEDIA O2 JOINT VENTURE</t>
  </si>
  <si>
    <t>Tesco Personal Finance Limited</t>
  </si>
  <si>
    <t>TESCO BANK</t>
  </si>
  <si>
    <t>Tesco Underwriting Limited</t>
  </si>
  <si>
    <t>THE CO-OPERATIVE BANK P.L.C.</t>
  </si>
  <si>
    <t>The Mortgage Works (UK) Plc</t>
  </si>
  <si>
    <t>The National Farmers' Union Mutual Insurance Society Limited</t>
  </si>
  <si>
    <t>The Prudential Assurance Company Limited</t>
  </si>
  <si>
    <t>The Royal Bank of Scotland Plc</t>
  </si>
  <si>
    <t>Topaz Finance Limited</t>
  </si>
  <si>
    <t>COMPUTERSHARE LIMITED</t>
  </si>
  <si>
    <t>Tradex Insurance Company PLC</t>
  </si>
  <si>
    <t>SATURN HOLDINGS PLC</t>
  </si>
  <si>
    <t>Trading 212 UK Limited</t>
  </si>
  <si>
    <t>True Potential Wealth Management LLP</t>
  </si>
  <si>
    <t>TSB Bank plc</t>
  </si>
  <si>
    <t>BANCO DE SABADELL SA</t>
  </si>
  <si>
    <t>U K Insurance Limited</t>
  </si>
  <si>
    <t>DIRECT LINE GROUP</t>
  </si>
  <si>
    <t>U.S. Bank Europe DAC</t>
  </si>
  <si>
    <t>U.S. BANCORP</t>
  </si>
  <si>
    <t>UBS AG</t>
  </si>
  <si>
    <t>UBS GROUP</t>
  </si>
  <si>
    <t>UK Mortgage Lending Ltd</t>
  </si>
  <si>
    <t>USAY BUSINESS LTD</t>
  </si>
  <si>
    <t>ARDONAGH GROUP</t>
  </si>
  <si>
    <t>Utility Warehouse Limited</t>
  </si>
  <si>
    <t>TELECOM PLUS PLC</t>
  </si>
  <si>
    <t>VANGUARD ASSET MANAGEMENT, LTD.</t>
  </si>
  <si>
    <t>THE VANGUARD GROUP, INC.</t>
  </si>
  <si>
    <t>Vanquis Bank Limited</t>
  </si>
  <si>
    <t>VANQUIS BANKING GROUP</t>
  </si>
  <si>
    <t>Vitality Corporate Services Limited</t>
  </si>
  <si>
    <t>DISCOVERY LIMITED</t>
  </si>
  <si>
    <t>Vodafone Limited</t>
  </si>
  <si>
    <t>VODAFONETHREE HOLDINGS LIMITED</t>
  </si>
  <si>
    <t>Volkswagen Financial Services (UK) Limited</t>
  </si>
  <si>
    <t>VOLKSWAGEN AG</t>
  </si>
  <si>
    <t>Wesleyan Assurance Society</t>
  </si>
  <si>
    <t>West Bay Insurance Plc</t>
  </si>
  <si>
    <t>Xbridge Limited</t>
  </si>
  <si>
    <t>THE TRAVELERS COMPANIES, INC.</t>
  </si>
  <si>
    <t>Yorkshire Building Society</t>
  </si>
  <si>
    <t>Zempler Bank Limited</t>
  </si>
  <si>
    <t>ACCESS BANK PLC</t>
  </si>
  <si>
    <t>Zopa Bank Limited</t>
  </si>
  <si>
    <t>ZOPA GROUP LIMITED</t>
  </si>
  <si>
    <t>Zurich Assurance Ltd</t>
  </si>
  <si>
    <t>ZURICH INSURANCE GROUP LIMITED</t>
  </si>
  <si>
    <t>Zurich Insurance Company Ltd</t>
  </si>
  <si>
    <t>Context A Complaints per 1,000</t>
  </si>
  <si>
    <t>Eligible?</t>
  </si>
  <si>
    <t>Selection Rank</t>
  </si>
  <si>
    <t>Selected?</t>
  </si>
  <si>
    <t>Yes</t>
  </si>
  <si>
    <t>No</t>
  </si>
  <si>
    <t>Firm</t>
  </si>
  <si>
    <t>Reporting Period</t>
  </si>
  <si>
    <t>Complaints Opened</t>
  </si>
  <si>
    <t>Complaints Closed</t>
  </si>
  <si>
    <t>Complaints per 1,000 Policies</t>
  </si>
  <si>
    <t>% Closed within 3 Days</t>
  </si>
  <si>
    <t>% Closed 3 Days - 8 Weeks</t>
  </si>
  <si>
    <t>% Closed within 8 Weeks</t>
  </si>
  <si>
    <t>% Closed after 8 Weeks</t>
  </si>
  <si>
    <t>% Upheld</t>
  </si>
  <si>
    <t>Complaint Rate Rank</t>
  </si>
  <si>
    <t>8-Week Closure Rank</t>
  </si>
  <si>
    <t>Core Performance Score</t>
  </si>
  <si>
    <t>Overall Rank</t>
  </si>
  <si>
    <t>Performance Band</t>
  </si>
  <si>
    <t>Analyst Notes</t>
  </si>
  <si>
    <t>After applying the rules above, select the 15 firms with the highest number of complaints opened.</t>
  </si>
  <si>
    <t>Performance bands use overall ranks: 1–5 = higher-ranked, 6–10 = middle-ranked, and above 10 = lower-ranked. Firms with the same score receive the same rank, so the bands may contain different numbers of firms. Rankings describe performance within this selected sample only.</t>
  </si>
  <si>
    <t>Complaints per 1,000</t>
  </si>
  <si>
    <t>UK Insurance Complaints Analysis</t>
  </si>
  <si>
    <t>July -  December 2025 | 15 selected firms</t>
  </si>
  <si>
    <t>Rank</t>
  </si>
  <si>
    <t>Overall ranking - lower core scores indicate stronger combined performance</t>
  </si>
  <si>
    <t>Core score</t>
  </si>
  <si>
    <t>Within 8 Weeks (%)</t>
  </si>
  <si>
    <t>Highest complaints opened in the sample, at 49,795, but a complaint rate of 2.72 per 1,000 policies. Ranked fifth overall, showing why total complaint numbers should not be assessed alone.</t>
  </si>
  <si>
    <t>Ranked tenth on both complaint rate and eight-week closure, producing an overall rank of 12. Its lower combined position reflects both measures rather than one particularly extreme result.</t>
  </si>
  <si>
    <t>Second-highest complaint rate at 12.25 per 1,000, but fourth-highest eight-week closure at 98.48%. Relatively prompt closure does not necessarily mean a low frequency of complaints.</t>
  </si>
  <si>
    <t>Complaint rate of 4.77 per 1,000 and eight-week closure of 94.61%. Ranked 11th and 12th on those measures respectively, resulting in joint 13th overall.</t>
  </si>
  <si>
    <t>Lowest eight-week closure rate at 84.27%, meaning 15.73% of complaints closed during the period took longer than eight weeks. This is the main reason for its joint 13th overall position.</t>
  </si>
  <si>
    <t>Second-highest eight-week closure rate at 99.37%, but a complaint rate of 5.23 per 1,000, ranked 12th. Strong closure performance partly offsets its higher complaint frequency in the combined score.</t>
  </si>
  <si>
    <t>Complaint rate ranked sixth, while eight-week closure ranked 11th at 95.16%. Its overall rank of seventh reflects stronger relative performance on complaint frequency than closure speed.</t>
  </si>
  <si>
    <t>Complaint rate of 6.26 per 1,000, ranked 13th, alongside eight-week closure of 97.81%, ranked fifth. These contrasting results produce joint eighth overall.</t>
  </si>
  <si>
    <t>Highest eight-week closure rate at 99.78%, alongside a complaint rate of 4.22 per 1,000. Ranked joint third overall, mainly supported by its closure performance.</t>
  </si>
  <si>
    <t>Third-lowest complaint rate at 1.45 per 1,000 and eight-week closure of 97.62%. Ranked joint third overall; its 74.10% uphold rate should be interpreted separately.</t>
  </si>
  <si>
    <t>Ranked first overall, combining the second-lowest complaint rate of 1.18 per 1,000 with the third-highest eight-week closure rate of 99.08%. Strong relative performance across both scored measures.</t>
  </si>
  <si>
    <t>Fourth-lowest complaint rate at 2.01 per 1,000, but second-lowest eight-week closure at 91.67%. The difference between the two measures explains its joint eighth overall position.</t>
  </si>
  <si>
    <t>Fifth-lowest complaint rate at 2.17 per 1,000, but eight-week closure ranked 13th at 92.74%. Highest uphold rate in the sample at 78.24%, which requires separate interpretation.</t>
  </si>
  <si>
    <t>Lowest complaint rate at 0.65 per 1,000 and an eight-week closure rate of 97.25%, placing it second overall. Its organisational structure should be considered when comparing it with individual firms.</t>
  </si>
  <si>
    <t>Highest complaint rate at 53.54 per 1,000, considerably above the next-highest figure of 12.25. Ranked 15th overall despite eight-week closure of 96.66%; the complaint-rate difference warrants further investigation.</t>
  </si>
  <si>
    <t>• The core score averages two ranks with equal weight which is my analytical choice, not an official FCA rating.</t>
  </si>
  <si>
    <t>• Ranking shows order but not the size of the gaps.</t>
  </si>
  <si>
    <t>• Complaints closed may include cases opened before July 2025. More closures than openings does not automatically mean that every new complaint was resolved.</t>
  </si>
  <si>
    <t>• The figures identify differences and possible review priorities. They do not establish the causes or prove poor treatment, wrongdoing or regulatory breaches.</t>
  </si>
  <si>
    <t>Key findings and implications</t>
  </si>
  <si>
    <t>Scope and method</t>
  </si>
  <si>
    <t>Main findings</t>
  </si>
  <si>
    <t>Suggested areas for management review</t>
  </si>
  <si>
    <t>Limitations and conclusion</t>
  </si>
  <si>
    <t>This project uses Financial Conduct Authority (FCA) complaints data from July to December 2025, focusing on the Insurance &amp; Pure Protection category. I selected the 15 eligible firms with the highest number of complaints opened, excluding firms that reported jointly or did not have the required contextual complaint-rate data. I compared complaint rates, closure times and uphold rates to assess differences in performance. To create a combined ranking, I calculated an equally weighted average of each firm's complaint-rate rank and eight-week-closure rank.</t>
  </si>
  <si>
    <t>Assurant General Insurance Limited achieved the strongest combined ranking in my sample. It recorded 1.18 complaints per 1,000 policies and closed 99.08% of complaints within eight weeks. This placed it near the top for both measures used in the ranking. However, this does not necessarily mean it is the best insurer overall, as the ranking only considers two aspects of complaints performance.
Munich Re Digital Partners Limited stood out for having a significantly higher complaint rate of 53.54 per 1,000 policies. This was considerably above the next-highest firm, AXA PPP Healthcare Limited, at 12.25. Although the difference is substantial, the data does not explain why this is the case.
Liverpool Victoria Insurance Company Limited had the lowest eight-week closure percentage in the sample, closing 84.27% of complaints within eight weeks, with the remaining 15.73% closed after this period. This suggests that its complaint-handling times may be worth investigating further.
Finally, complaint frequency and closure speed did not always follow the same pattern. For example, AXA PPP Healthcare Limited had the second-highest complaint rate but still closed 98.48% of complaints within eight weeks. This shows why looking at multiple measures gives a more balanced picture of performance.</t>
  </si>
  <si>
    <t>For firms with higher complaint rates, management could investigate complaint categories, specific products, distribution channels and recurring issues to better understand what may be driving complaints.
For firms with slower closure times, such as Liverpool Victoria, it may be useful to review the age and complexity of cases, how complaints are passed between teams and whether workloads affect resolution times.
Firms performing strongly under the selected measures, such as Assurant, could also be examined to see whether their complaint-handling processes offer useful lessons. However, differences in products and customer bases would need to be considered.
Further analysis could also compare multiple reporting periods and group firms with more similar products and business models to make comparisons more meaningful.</t>
  </si>
  <si>
    <t>This analysis only covers one six-month reporting period, meaning it cannot identify trends or changes in performance over time. The sample is also limited to 15 firms, and differences in products and customer bases make direct comparisons difficult.
The combined ranking uses equal weighting, which is a subjective choice. Rankings can also hide how large the differences between firms actually are.
Additionally, the data shows differences in performance but does not establish the reasons behind them. Overall, these findings provide a useful starting point for identifying areas that may benefit from further investigation, rather than drawing definite conclusions about overall firm performance.</t>
  </si>
  <si>
    <t xml:space="preserve">FCA Firm-Level Complaints Data: </t>
  </si>
  <si>
    <t>Link</t>
  </si>
  <si>
    <t>https://www.fca.org.uk/data/complaints-data/firm-level</t>
  </si>
  <si>
    <t>https://www.fca.org.uk/data/complaints-data/about-data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</si>
</sst>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7" x14ac:knownFonts="1">
    <font>
      <sz val="11"/>
      <color theme="1"/>
      <name val="Aptos Narrow"/>
      <family val="2"/>
      <scheme val="minor"/>
    </font>
    <font>
      <sz val="18"/>
      <color theme="3"/>
      <name val="Aptos Display"/>
      <family val="2"/>
      <scheme val="major"/>
    </font>
    <font>
      <b/>
      <sz val="11"/>
      <color theme="1"/>
      <name val="Aptos Narrow"/>
      <family val="2"/>
      <scheme val="minor"/>
    </font>
    <font>
      <b/>
      <sz val="14"/>
      <color theme="1"/>
      <name val="Aptos Narrow"/>
      <family val="2"/>
      <scheme val="minor"/>
    </font>
    <font>
      <sz val="14"/>
      <color theme="1"/>
      <name val="Aptos Narrow"/>
      <family val="2"/>
      <scheme val="minor"/>
    </font>
    <font>
      <i/>
      <sz val="10"/>
      <color theme="1"/>
      <name val="Aptos Narrow"/>
      <family val="2"/>
      <scheme val="minor"/>
    </font>
    <font>
      <sz val="11"/>
      <color theme="1"/>
      <name val="Aptos Narrow"/>
      <family val="2"/>
    </font>
    <font>
      <sz val="10"/>
      <color theme="1"/>
      <name val="Verdana"/>
      <family val="2"/>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57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Aptos Narrow"/>
      <family val="2"/>
      <scheme val="minor"/>
    </font>
    <font>
      <b/>
      <sz val="18"/>
      <color theme="1"/>
      <name val="Aptos Narrow"/>
      <family val="2"/>
      <scheme val="minor"/>
    </font>
    <font>
      <b/>
      <sz val="16"/>
      <color theme="1"/>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1" fillId="0" borderId="0" applyNumberFormat="0" applyFill="0" applyBorder="0" applyAlignment="0" applyProtection="0"/>
    <xf numFmtId="0" fontId="7" fillId="0" borderId="0"/>
    <xf numFmtId="9" fontId="7"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7"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2"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2"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43" fontId="7" fillId="0" borderId="0" applyFont="0" applyFill="0" applyBorder="0" applyAlignment="0" applyProtection="0"/>
    <xf numFmtId="9" fontId="23" fillId="0" borderId="0" applyFont="0" applyFill="0" applyBorder="0" applyAlignment="0" applyProtection="0"/>
    <xf numFmtId="0" fontId="26" fillId="0" borderId="0" applyNumberFormat="0" applyFill="0" applyBorder="0" applyAlignment="0" applyProtection="0"/>
  </cellStyleXfs>
  <cellXfs count="34">
    <xf numFmtId="0" fontId="0" fillId="0" borderId="0" xfId="0"/>
    <xf numFmtId="0" fontId="0" fillId="0" borderId="0" xfId="0" applyAlignment="1">
      <alignment horizontal="left"/>
    </xf>
    <xf numFmtId="0" fontId="2" fillId="0" borderId="0" xfId="0" applyFont="1"/>
    <xf numFmtId="14" fontId="0" fillId="0" borderId="0" xfId="0" applyNumberFormat="1"/>
    <xf numFmtId="14" fontId="0" fillId="0" borderId="0" xfId="0" applyNumberFormat="1" applyAlignment="1">
      <alignment horizontal="left"/>
    </xf>
    <xf numFmtId="0" fontId="3" fillId="0" borderId="0" xfId="0" applyFont="1" applyAlignment="1">
      <alignment horizontal="center"/>
    </xf>
    <xf numFmtId="0" fontId="4" fillId="0" borderId="0" xfId="0" applyFont="1" applyAlignment="1">
      <alignment horizontal="center"/>
    </xf>
    <xf numFmtId="0" fontId="0" fillId="0" borderId="0" xfId="0" applyAlignment="1">
      <alignment wrapText="1"/>
    </xf>
    <xf numFmtId="0" fontId="5" fillId="0" borderId="0" xfId="0" applyFont="1" applyAlignment="1">
      <alignment horizontal="left" wrapText="1"/>
    </xf>
    <xf numFmtId="0" fontId="0" fillId="0" borderId="0" xfId="0" applyAlignment="1">
      <alignment horizontal="right"/>
    </xf>
    <xf numFmtId="3" fontId="0" fillId="0" borderId="0" xfId="0" applyNumberFormat="1"/>
    <xf numFmtId="164" fontId="0" fillId="0" borderId="0" xfId="0" applyNumberFormat="1"/>
    <xf numFmtId="10" fontId="0" fillId="0" borderId="0" xfId="0" applyNumberFormat="1"/>
    <xf numFmtId="4" fontId="0" fillId="0" borderId="0" xfId="0" applyNumberFormat="1"/>
    <xf numFmtId="10" fontId="0" fillId="0" borderId="0" xfId="45" applyNumberFormat="1" applyFont="1"/>
    <xf numFmtId="0" fontId="0" fillId="0" borderId="0" xfId="0" applyAlignment="1">
      <alignment horizontal="left"/>
    </xf>
    <xf numFmtId="0" fontId="0" fillId="0" borderId="0" xfId="0" applyAlignment="1">
      <alignment horizontal="center" vertical="top" wrapText="1"/>
    </xf>
    <xf numFmtId="0" fontId="3" fillId="0" borderId="0" xfId="0" applyFont="1" applyAlignment="1">
      <alignment horizontal="center"/>
    </xf>
    <xf numFmtId="0" fontId="0" fillId="0" borderId="0" xfId="0" applyAlignment="1">
      <alignment horizontal="left" wrapText="1"/>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wrapText="1"/>
    </xf>
    <xf numFmtId="0" fontId="4" fillId="0" borderId="0" xfId="0" applyFont="1" applyAlignment="1">
      <alignment horizontal="center"/>
    </xf>
    <xf numFmtId="0" fontId="0" fillId="0" borderId="0" xfId="0" pivotButton="1"/>
    <xf numFmtId="2" fontId="0" fillId="0" borderId="0" xfId="0" applyNumberFormat="1"/>
    <xf numFmtId="1" fontId="0" fillId="0" borderId="0" xfId="0" applyNumberFormat="1"/>
    <xf numFmtId="0" fontId="0" fillId="0" borderId="0" xfId="0"/>
    <xf numFmtId="0" fontId="0" fillId="0" borderId="0" xfId="0" applyAlignment="1">
      <alignment vertical="top"/>
    </xf>
    <xf numFmtId="0" fontId="0" fillId="0" borderId="0" xfId="0" applyAlignment="1">
      <alignment vertical="top" wrapText="1"/>
    </xf>
    <xf numFmtId="0" fontId="24" fillId="0" borderId="0" xfId="0" applyFont="1" applyAlignment="1">
      <alignment horizontal="center"/>
    </xf>
    <xf numFmtId="0" fontId="25" fillId="0" borderId="0" xfId="0" applyFont="1"/>
    <xf numFmtId="0" fontId="25" fillId="0" borderId="0" xfId="0" applyFont="1" applyAlignment="1">
      <alignment horizontal="center"/>
    </xf>
    <xf numFmtId="0" fontId="26" fillId="0" borderId="0" xfId="46"/>
  </cellXfs>
  <cellStyles count="47">
    <cellStyle name="20% - Accent1 2" xfId="21" xr:uid="{0B56166A-9846-4AB4-A3F7-26A95121466F}"/>
    <cellStyle name="20% - Accent2 2" xfId="25" xr:uid="{E12D4A78-87D2-45BA-9493-0A0015EA3D93}"/>
    <cellStyle name="20% - Accent3 2" xfId="29" xr:uid="{4002112A-8251-4A76-91FB-293AFEE43310}"/>
    <cellStyle name="20% - Accent4 2" xfId="33" xr:uid="{86B879FD-B624-4BBE-BE23-5B217BC65660}"/>
    <cellStyle name="20% - Accent5 2" xfId="37" xr:uid="{0F12936C-6BE2-4A13-BAE8-55A453D664A0}"/>
    <cellStyle name="20% - Accent6 2" xfId="41" xr:uid="{AA893A1D-8293-4020-9362-4A7D171C0ED5}"/>
    <cellStyle name="40% - Accent1 2" xfId="22" xr:uid="{23297AC2-A898-42BC-9B74-600B497C8221}"/>
    <cellStyle name="40% - Accent2 2" xfId="26" xr:uid="{5AF973D3-DB35-441A-A020-637476D012EC}"/>
    <cellStyle name="40% - Accent3 2" xfId="30" xr:uid="{BC7CFE38-CCD2-4EE6-80EB-7CA3BEFF9D50}"/>
    <cellStyle name="40% - Accent4 2" xfId="34" xr:uid="{0054B221-9159-4FD7-90B5-6B9DB0400616}"/>
    <cellStyle name="40% - Accent5 2" xfId="38" xr:uid="{B01F83F3-8BB9-4F77-9835-C5E4A6A431BB}"/>
    <cellStyle name="40% - Accent6 2" xfId="42" xr:uid="{90430772-64D4-492E-95FD-B412289456B0}"/>
    <cellStyle name="60% - Accent1 2" xfId="23" xr:uid="{109666F2-D348-4F0A-BD1B-38839062A707}"/>
    <cellStyle name="60% - Accent2 2" xfId="27" xr:uid="{825A7C09-7FC5-4B9C-9FFD-D77E1E4311A2}"/>
    <cellStyle name="60% - Accent3 2" xfId="31" xr:uid="{6A75A4C4-809D-43F3-B6B8-C395839C3285}"/>
    <cellStyle name="60% - Accent4 2" xfId="35" xr:uid="{175E8CC8-02A5-416A-8D58-C4B332F1CAB1}"/>
    <cellStyle name="60% - Accent5 2" xfId="39" xr:uid="{D1173552-F20E-4DB8-8D31-71B10018CCD8}"/>
    <cellStyle name="60% - Accent6 2" xfId="43" xr:uid="{870C09DB-E0CF-4254-BC4D-039C6F698108}"/>
    <cellStyle name="Accent1 2" xfId="20" xr:uid="{B135ADDB-9AB6-4C28-B92A-1113D44D34AC}"/>
    <cellStyle name="Accent2 2" xfId="24" xr:uid="{021A1FE5-0C6D-4ABB-9D3E-7315217D0C69}"/>
    <cellStyle name="Accent3 2" xfId="28" xr:uid="{27025B1C-FFEC-41B7-B55E-605FED12C11E}"/>
    <cellStyle name="Accent4 2" xfId="32" xr:uid="{461D9507-EE4A-44FE-9B90-7BEAD65BB061}"/>
    <cellStyle name="Accent5 2" xfId="36" xr:uid="{54527C75-9A9F-456C-82C2-679B0978120A}"/>
    <cellStyle name="Accent6 2" xfId="40" xr:uid="{B273614E-C536-4597-8265-BCB606BFB13B}"/>
    <cellStyle name="Bad 2" xfId="9" xr:uid="{AF02D102-4415-47C7-AEF7-0AE2204BAF1F}"/>
    <cellStyle name="Calculation 2" xfId="13" xr:uid="{4F4DBE07-F1DC-4B2B-8C23-FC3D6993AF28}"/>
    <cellStyle name="Check Cell 2" xfId="15" xr:uid="{C9085FE1-BFA9-4C63-929A-EAAB09E784C9}"/>
    <cellStyle name="Comma 2" xfId="44" xr:uid="{81649FA5-4A0D-4467-99C4-D2FF715F4F33}"/>
    <cellStyle name="Explanatory Text 2" xfId="18" xr:uid="{D8055259-0384-4AF0-B70E-172AAA89897D}"/>
    <cellStyle name="Good 2" xfId="8" xr:uid="{399E09BD-3575-40DB-B76A-CC3E5A43044F}"/>
    <cellStyle name="Heading 1 2" xfId="4" xr:uid="{FC96B17F-B576-4D4C-B93F-91AA1E06F1D1}"/>
    <cellStyle name="Heading 2 2" xfId="5" xr:uid="{A1F040D4-9837-43CD-BD3D-6C9A8B9AFB97}"/>
    <cellStyle name="Heading 3 2" xfId="6" xr:uid="{64959F39-DBC3-4CCF-A19E-095D7EA2E2EB}"/>
    <cellStyle name="Heading 4 2" xfId="7" xr:uid="{8F814FD2-83BF-4D5A-892C-422C46FFE7C2}"/>
    <cellStyle name="Hyperlink" xfId="46" builtinId="8"/>
    <cellStyle name="Input 2" xfId="11" xr:uid="{6564AE47-82B3-4997-AF40-1195FADE74E9}"/>
    <cellStyle name="Linked Cell 2" xfId="14" xr:uid="{56EDAA1C-10C8-4E42-8A93-6859115E2ECC}"/>
    <cellStyle name="Neutral 2" xfId="10" xr:uid="{03B19A3B-32A1-46B3-8D8E-BF9D6AD37AA2}"/>
    <cellStyle name="Normal" xfId="0" builtinId="0"/>
    <cellStyle name="Normal 2" xfId="2" xr:uid="{EBFED54C-0A83-4D0B-BC96-206069CE0AEB}"/>
    <cellStyle name="Note 2" xfId="17" xr:uid="{834AC6DE-0772-46E2-8D01-B3984CE784F1}"/>
    <cellStyle name="Output 2" xfId="12" xr:uid="{BF63EB16-C862-4E91-8B28-EB021705BE82}"/>
    <cellStyle name="Per cent" xfId="45" builtinId="5"/>
    <cellStyle name="Per cent 2" xfId="3" xr:uid="{055A9128-798D-43A4-AAB9-9372D053FA18}"/>
    <cellStyle name="Title" xfId="1" builtinId="15" customBuiltin="1"/>
    <cellStyle name="Total 2" xfId="19" xr:uid="{B202DBCA-4926-465E-90D0-9C8195F46ED9}"/>
    <cellStyle name="Warning Text 2" xfId="16" xr:uid="{CEA302E8-3983-4C20-B318-788016289854}"/>
  </cellStyles>
  <dxfs count="32">
    <dxf>
      <alignment horizontal="general" vertical="bottom" textRotation="0" wrapText="1" indent="0" justifyLastLine="0" shrinkToFit="0" readingOrder="0"/>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_-* #,##0_-;\-* #,##0_-;_-* &quot;-&quot;??_-;_-@_-"/>
    </dxf>
    <dxf>
      <numFmt numFmtId="3" formatCode="#,##0"/>
    </dxf>
    <dxf>
      <numFmt numFmtId="164" formatCode="_-* #,##0_-;\-* #,##0_-;_-* &quot;-&quot;??_-;_-@_-"/>
    </dxf>
    <dxf>
      <numFmt numFmtId="3" formatCode="#,##0"/>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fill>
        <patternFill patternType="none">
          <fgColor indexed="64"/>
          <bgColor auto="1"/>
        </patternFill>
      </fill>
    </dxf>
    <dxf>
      <numFmt numFmtId="0" formatCode="General"/>
    </dxf>
    <dxf>
      <numFmt numFmtId="0" formatCode="General"/>
    </dxf>
  </dxfs>
  <tableStyles count="0" defaultTableStyle="TableStyleMedium2" defaultPivotStyle="PivotStyleLight16"/>
  <colors>
    <mruColors>
      <color rgb="FFF7ADB2"/>
      <color rgb="FFF7ECAD"/>
      <color rgb="FFFF69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[UK_Insurance_Complaints_Analysis.xlsx]09_Dashboard_Data!PivotTable1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Complaints per</a:t>
            </a:r>
            <a:r>
              <a:rPr lang="en-US" baseline="0"/>
              <a:t> 1,000 policies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'09_Dashboard_Data'!$B$3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'09_Dashboard_Data'!$A$4:$A$18</c:f>
              <c:strCache>
                <c:ptCount val="15"/>
                <c:pt idx="0">
                  <c:v>Society of Lloyd's</c:v>
                </c:pt>
                <c:pt idx="1">
                  <c:v>Assurant General Insurance Limited</c:v>
                </c:pt>
                <c:pt idx="2">
                  <c:v>Inter Partner Assistance SA</c:v>
                </c:pt>
                <c:pt idx="3">
                  <c:v>INTACT INSURANCE UK LIMITED</c:v>
                </c:pt>
                <c:pt idx="4">
                  <c:v>Lloyds Bank General Insurance Limited</c:v>
                </c:pt>
                <c:pt idx="5">
                  <c:v>esure Insurance Limited</c:v>
                </c:pt>
                <c:pt idx="6">
                  <c:v>Aviva Insurance Limited</c:v>
                </c:pt>
                <c:pt idx="7">
                  <c:v>Liverpool Victoria Insurance Company Limited</c:v>
                </c:pt>
                <c:pt idx="8">
                  <c:v>Atlanta Insurance Intermediaries Limited</c:v>
                </c:pt>
                <c:pt idx="9">
                  <c:v>U K Insurance Limited</c:v>
                </c:pt>
                <c:pt idx="10">
                  <c:v>AXA Insurance UK Plc</c:v>
                </c:pt>
                <c:pt idx="11">
                  <c:v>BISL Limited</c:v>
                </c:pt>
                <c:pt idx="12">
                  <c:v>First Central Insurance Management Limited</c:v>
                </c:pt>
                <c:pt idx="13">
                  <c:v>AXA PPP Healthcare Limited</c:v>
                </c:pt>
                <c:pt idx="14">
                  <c:v>MUNICH RE DIGITAL PARTNERS LIMITED</c:v>
                </c:pt>
              </c:strCache>
            </c:strRef>
          </c:cat>
          <c:val>
            <c:numRef>
              <c:f>'09_Dashboard_Data'!$B$4:$B$18</c:f>
              <c:numCache>
                <c:formatCode>0.00</c:formatCode>
                <c:ptCount val="15"/>
                <c:pt idx="0">
                  <c:v>0.65</c:v>
                </c:pt>
                <c:pt idx="1">
                  <c:v>1.18</c:v>
                </c:pt>
                <c:pt idx="2">
                  <c:v>1.45</c:v>
                </c:pt>
                <c:pt idx="3">
                  <c:v>2.0099999999999998</c:v>
                </c:pt>
                <c:pt idx="4">
                  <c:v>2.17</c:v>
                </c:pt>
                <c:pt idx="5">
                  <c:v>2.62</c:v>
                </c:pt>
                <c:pt idx="6">
                  <c:v>2.72</c:v>
                </c:pt>
                <c:pt idx="7">
                  <c:v>2.87</c:v>
                </c:pt>
                <c:pt idx="8">
                  <c:v>4.22</c:v>
                </c:pt>
                <c:pt idx="9">
                  <c:v>4.54</c:v>
                </c:pt>
                <c:pt idx="10">
                  <c:v>4.7699999999999996</c:v>
                </c:pt>
                <c:pt idx="11">
                  <c:v>5.23</c:v>
                </c:pt>
                <c:pt idx="12">
                  <c:v>6.26</c:v>
                </c:pt>
                <c:pt idx="13">
                  <c:v>12.25</c:v>
                </c:pt>
                <c:pt idx="14">
                  <c:v>53.54</c:v>
                </c:pt>
              </c:numCache>
            </c:numRef>
          </c:val>
          <c:extLst>
            <c:ext xmlns:c16="http://schemas.microsoft.com/office/drawing/2014/chart" uri="{C3380CC4-5D6E-409C-BE32-E72D297353CC}">
              <c16:uniqueId val="{00000000-2CAF-46A5-B4C9-7CB36B4F0702}"/>
            </c:ext>
          </c:extLst>
        </c:ser>
        <c:dLbls>
          <c:showLegendKey val="0"/>
          <c:showVal val="0"/>
          <c:showCatName val="0"/>
          <c:showSerName val="0"/>
          <c:showPercent val="0"/>
          <c:showBubbleSize val="0"/>
        </c:dLbls>
        <c:gapWidth val="182"/>
        <c:axId val="1825803903"/>
        <c:axId val="1825802463"/>
      </c:barChart>
      <c:catAx>
        <c:axId val="18258039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02463"/>
        <c:crosses val="autoZero"/>
        <c:auto val="1"/>
        <c:lblAlgn val="ctr"/>
        <c:lblOffset val="100"/>
        <c:noMultiLvlLbl val="0"/>
      </c:catAx>
      <c:valAx>
        <c:axId val="1825802463"/>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[UK_Insurance_Complaints_Analysis.xlsx]09_Dashboard_Data!PivotTable2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Complaints</a:t>
            </a:r>
            <a:r>
              <a:rPr lang="en-US" baseline="0"/>
              <a:t> Closed within eight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'09_Dashboard_Data'!$E$3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'09_Dashboard_Data'!$D$4:$D$18</c:f>
              <c:strCache>
                <c:ptCount val="15"/>
                <c:pt idx="0">
                  <c:v>Atlanta Insurance Intermediaries Limited</c:v>
                </c:pt>
                <c:pt idx="1">
                  <c:v>BISL Limited</c:v>
                </c:pt>
                <c:pt idx="2">
                  <c:v>Assurant General Insurance Limited</c:v>
                </c:pt>
                <c:pt idx="3">
                  <c:v>AXA PPP Healthcare Limited</c:v>
                </c:pt>
                <c:pt idx="4">
                  <c:v>First Central Insurance Management Limited</c:v>
                </c:pt>
                <c:pt idx="5">
                  <c:v>Aviva Insurance Limited</c:v>
                </c:pt>
                <c:pt idx="6">
                  <c:v>Inter Partner Assistance SA</c:v>
                </c:pt>
                <c:pt idx="7">
                  <c:v>Society of Lloyd's</c:v>
                </c:pt>
                <c:pt idx="8">
                  <c:v>MUNICH RE DIGITAL PARTNERS LIMITED</c:v>
                </c:pt>
                <c:pt idx="9">
                  <c:v>U K Insurance Limited</c:v>
                </c:pt>
                <c:pt idx="10">
                  <c:v>esure Insurance Limited</c:v>
                </c:pt>
                <c:pt idx="11">
                  <c:v>AXA Insurance UK Plc</c:v>
                </c:pt>
                <c:pt idx="12">
                  <c:v>Lloyds Bank General Insurance Limited</c:v>
                </c:pt>
                <c:pt idx="13">
                  <c:v>INTACT INSURANCE UK LIMITED</c:v>
                </c:pt>
                <c:pt idx="14">
                  <c:v>Liverpool Victoria Insurance Company Limited</c:v>
                </c:pt>
              </c:strCache>
            </c:strRef>
          </c:cat>
          <c:val>
            <c:numRef>
              <c:f>'09_Dashboard_Data'!$E$4:$E$18</c:f>
              <c:numCache>
                <c:formatCode>0.00%</c:formatCode>
                <c:ptCount val="15"/>
                <c:pt idx="0">
                  <c:v>0.99780000000000002</c:v>
                </c:pt>
                <c:pt idx="1">
                  <c:v>0.99370000000000003</c:v>
                </c:pt>
                <c:pt idx="2">
                  <c:v>0.99080000000000001</c:v>
                </c:pt>
                <c:pt idx="3">
                  <c:v>0.98480000000000001</c:v>
                </c:pt>
                <c:pt idx="4">
                  <c:v>0.97809999999999997</c:v>
                </c:pt>
                <c:pt idx="5">
                  <c:v>0.9766999999999999</c:v>
                </c:pt>
                <c:pt idx="6">
                  <c:v>0.97619999999999996</c:v>
                </c:pt>
                <c:pt idx="7">
                  <c:v>0.97249999999999992</c:v>
                </c:pt>
                <c:pt idx="8">
                  <c:v>0.96660000000000013</c:v>
                </c:pt>
                <c:pt idx="9">
                  <c:v>0.96510000000000007</c:v>
                </c:pt>
                <c:pt idx="10">
                  <c:v>0.9516</c:v>
                </c:pt>
                <c:pt idx="11">
                  <c:v>0.94609999999999994</c:v>
                </c:pt>
                <c:pt idx="12">
                  <c:v>0.9274</c:v>
                </c:pt>
                <c:pt idx="13">
                  <c:v>0.91670000000000007</c:v>
                </c:pt>
                <c:pt idx="14">
                  <c:v>0.8427</c:v>
                </c:pt>
              </c:numCache>
            </c:numRef>
          </c:val>
          <c:extLst>
            <c:ext xmlns:c16="http://schemas.microsoft.com/office/drawing/2014/chart" uri="{C3380CC4-5D6E-409C-BE32-E72D297353CC}">
              <c16:uniqueId val="{00000000-BDAA-4A6C-95B4-51AE6000D087}"/>
            </c:ext>
          </c:extLst>
        </c:ser>
        <c:dLbls>
          <c:showLegendKey val="0"/>
          <c:showVal val="0"/>
          <c:showCatName val="0"/>
          <c:showSerName val="0"/>
          <c:showPercent val="0"/>
          <c:showBubbleSize val="0"/>
        </c:dLbls>
        <c:gapWidth val="182"/>
        <c:axId val="564685839"/>
        <c:axId val="564684879"/>
      </c:barChart>
      <c:catAx>
        <c:axId val="5646858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684879"/>
        <c:crosses val="autoZero"/>
        <c:auto val="1"/>
        <c:lblAlgn val="ctr"/>
        <c:lblOffset val="100"/>
        <c:noMultiLvlLbl val="0"/>
      </c:catAx>
      <c:valAx>
        <c:axId val="564684879"/>
        <c:scaling>
          <c:orientation val="minMax"/>
          <c:max val="1"/>
          <c:min val="0"/>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68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73025</xdr:colOff>
      <xdr:row>2</xdr:row>
      <xdr:rowOff>82550</xdr:rowOff>
    </xdr:from>
    <xdr:to>
      <xdr:col>10</xdr:col>
      <xdr:colOff>234951</xdr:colOff>
      <xdr:row>21</xdr:row>
      <xdr:rowOff>107950</xdr:rowOff>
    </xdr:to>
    <xdr:graphicFrame macro="">
      <xdr:nvGraphicFramePr>
        <xdr:cNvPr id="2" name="Chart 1">
          <a:extLst>
            <a:ext uri="{FF2B5EF4-FFF2-40B4-BE49-F238E27FC236}">
              <a16:creationId xmlns:a16="http://schemas.microsoft.com/office/drawing/2014/main" id="{F3AA5BAF-9328-39CA-414E-EBC165CF3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79374</xdr:colOff>
      <xdr:row>26</xdr:row>
      <xdr:rowOff>114300</xdr:rowOff>
    </xdr:from>
    <xdr:to>
      <xdr:col>10</xdr:col>
      <xdr:colOff>323850</xdr:colOff>
      <xdr:row>48</xdr:row>
      <xdr:rowOff>50800</xdr:rowOff>
    </xdr:to>
    <xdr:graphicFrame macro="">
      <xdr:nvGraphicFramePr>
        <xdr:cNvPr id="3" name="Chart 2">
          <a:extLst>
            <a:ext uri="{FF2B5EF4-FFF2-40B4-BE49-F238E27FC236}">
              <a16:creationId xmlns:a16="http://schemas.microsoft.com/office/drawing/2014/main" id="{EB01FC13-9080-7E57-0EE8-F25DAED32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45354</xdr:colOff>
      <xdr:row>2</xdr:row>
      <xdr:rowOff>83156</xdr:rowOff>
    </xdr:from>
    <xdr:to>
      <xdr:col>17</xdr:col>
      <xdr:colOff>559403</xdr:colOff>
      <xdr:row>28</xdr:row>
      <xdr:rowOff>7560</xdr:rowOff>
    </xdr:to>
    <mc:AlternateContent xmlns:mc="http://schemas.openxmlformats.org/markup-compatibility/2006">
      <mc:Choice xmlns:a14="http://schemas.microsoft.com/office/drawing/2010/main" Requires="a14">
        <xdr:graphicFrame macro="">
          <xdr:nvGraphicFramePr>
            <xdr:cNvPr id="4" name="Firm">
              <a:extLst>
                <a:ext uri="{FF2B5EF4-FFF2-40B4-BE49-F238E27FC236}">
                  <a16:creationId xmlns:a16="http://schemas.microsoft.com/office/drawing/2014/main" id="{D50F7285-F86E-4F3A-81C5-F93EA04937A1}"/>
                </a:ext>
              </a:extLst>
            </xdr:cNvPr>
            <xdr:cNvGraphicFramePr/>
          </xdr:nvGraphicFramePr>
          <xdr:xfrm>
            <a:off x="0" y="0"/>
            <a:ext cx="0" cy="0"/>
          </xdr:xfrm>
          <a:graphic>
            <a:graphicData uri="http://schemas.microsoft.com/office/drawing/2010/slicer">
              <sle:slicer xmlns:sle="http://schemas.microsoft.com/office/drawing/2010/slicer" name="Firm"/>
            </a:graphicData>
          </a:graphic>
        </xdr:graphicFrame>
      </mc:Choice>
      <mc:Fallback>
        <xdr:sp macro="" textlink="">
          <xdr:nvSpPr>
            <xdr:cNvPr id="0" name=""/>
            <xdr:cNvSpPr>
              <a:spLocks noTextEdit="1"/>
            </xdr:cNvSpPr>
          </xdr:nvSpPr>
          <xdr:spPr>
            <a:xfrm>
              <a:off x="9404044" y="529168"/>
              <a:ext cx="3575657" cy="46415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osa ." refreshedDate="46313.889153240743" createdVersion="8" refreshedVersion="8" minRefreshableVersion="3" recordCount="15" xr:uid="{697D53CF-B1A3-4973-AC7F-5998C4F5BA49}">
  <cacheSource type="worksheet">
    <worksheetSource name="tblAnalysis"/>
  </cacheSource>
  <cacheFields count="17">
    <cacheField name="Firm" numFmtId="0">
      <sharedItems count="15">
        <s v="Aviva Insurance Limited"/>
        <s v="U K Insurance Limited"/>
        <s v="AXA PPP Healthcare Limited"/>
        <s v="AXA Insurance UK Plc"/>
        <s v="Liverpool Victoria Insurance Company Limited"/>
        <s v="BISL Limited"/>
        <s v="esure Insurance Limited"/>
        <s v="First Central Insurance Management Limited"/>
        <s v="Atlanta Insurance Intermediaries Limited"/>
        <s v="Inter Partner Assistance SA"/>
        <s v="Assurant General Insurance Limited"/>
        <s v="INTACT INSURANCE UK LIMITED"/>
        <s v="Lloyds Bank General Insurance Limited"/>
        <s v="Society of Lloyd's"/>
        <s v="MUNICH RE DIGITAL PARTNERS LIMITED"/>
      </sharedItems>
    </cacheField>
    <cacheField name="Group" numFmtId="0">
      <sharedItems/>
    </cacheField>
    <cacheField name="Reporting Period" numFmtId="0">
      <sharedItems/>
    </cacheField>
    <cacheField name="Complaints Opened" numFmtId="0">
      <sharedItems containsSemiMixedTypes="0" containsString="0" containsNumber="1" containsInteger="1" minValue="5012" maxValue="49795"/>
    </cacheField>
    <cacheField name="Complaints Closed" numFmtId="0">
      <sharedItems containsSemiMixedTypes="0" containsString="0" containsNumber="1" containsInteger="1" minValue="5303" maxValue="50156"/>
    </cacheField>
    <cacheField name="Complaints per 1,000 Policies" numFmtId="0">
      <sharedItems containsSemiMixedTypes="0" containsString="0" containsNumber="1" minValue="0.65" maxValue="53.54"/>
    </cacheField>
    <cacheField name="% Closed within 3 Days" numFmtId="10">
      <sharedItems containsSemiMixedTypes="0" containsString="0" containsNumber="1" minValue="0.2586" maxValue="0.76270000000000004"/>
    </cacheField>
    <cacheField name="% Closed 3 Days - 8 Weeks" numFmtId="10">
      <sharedItems containsSemiMixedTypes="0" containsString="0" containsNumber="1" minValue="0.2351" maxValue="0.71760000000000002"/>
    </cacheField>
    <cacheField name="% Closed within 8 Weeks" numFmtId="10">
      <sharedItems containsSemiMixedTypes="0" containsString="0" containsNumber="1" minValue="0.8427" maxValue="0.99780000000000002"/>
    </cacheField>
    <cacheField name="% Closed after 8 Weeks" numFmtId="10">
      <sharedItems containsSemiMixedTypes="0" containsString="0" containsNumber="1" minValue="2.1999999999999797E-3" maxValue="0.1573"/>
    </cacheField>
    <cacheField name="% Upheld" numFmtId="10">
      <sharedItems containsSemiMixedTypes="0" containsString="0" containsNumber="1" minValue="0.1082" maxValue="0.78239999999999998"/>
    </cacheField>
    <cacheField name="Complaint Rate Rank" numFmtId="0">
      <sharedItems containsSemiMixedTypes="0" containsString="0" containsNumber="1" containsInteger="1" minValue="1" maxValue="15"/>
    </cacheField>
    <cacheField name="8-Week Closure Rank" numFmtId="0">
      <sharedItems containsSemiMixedTypes="0" containsString="0" containsNumber="1" containsInteger="1" minValue="1" maxValue="15"/>
    </cacheField>
    <cacheField name="Core Performance Score" numFmtId="0">
      <sharedItems containsSemiMixedTypes="0" containsString="0" containsNumber="1" minValue="2.5" maxValue="12"/>
    </cacheField>
    <cacheField name="Overall Rank" numFmtId="0">
      <sharedItems containsSemiMixedTypes="0" containsString="0" containsNumber="1" containsInteger="1" minValue="1" maxValue="15"/>
    </cacheField>
    <cacheField name="Performance Band" numFmtId="0">
      <sharedItems/>
    </cacheField>
    <cacheField name="Analyst Notes" numFmtId="0">
      <sharedItems containsNonDate="0" containsString="0" containsBlank="1"/>
    </cacheField>
  </cacheFields>
  <extLst>
    <ext xmlns:x14="http://schemas.microsoft.com/office/spreadsheetml/2009/9/main" uri="{725AE2AE-9491-48be-B2B4-4EB974FC3084}">
      <x14:pivotCacheDefinition pivotCacheId="842759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AVIVA PLC"/>
    <s v="2025-07-01 to 2025-12-31"/>
    <n v="49795"/>
    <n v="50156"/>
    <n v="2.72"/>
    <n v="0.43490000000000001"/>
    <n v="0.54179999999999995"/>
    <n v="0.9766999999999999"/>
    <n v="2.3300000000000098E-2"/>
    <n v="0.56269999999999998"/>
    <n v="7"/>
    <n v="6"/>
    <n v="6.5"/>
    <n v="5"/>
    <s v="Higher-ranked"/>
    <m/>
  </r>
  <r>
    <x v="1"/>
    <s v="DIRECT LINE GROUP"/>
    <s v="2025-07-01 to 2025-12-31"/>
    <n v="37282"/>
    <n v="37663"/>
    <n v="4.54"/>
    <n v="0.47410000000000002"/>
    <n v="0.49099999999999999"/>
    <n v="0.96510000000000007"/>
    <n v="3.4899999999999931E-2"/>
    <n v="0.6744"/>
    <n v="10"/>
    <n v="10"/>
    <n v="10"/>
    <n v="12"/>
    <s v="Lower-ranked"/>
    <m/>
  </r>
  <r>
    <x v="2"/>
    <s v="AXA GROUP"/>
    <s v="2025-07-01 to 2025-12-31"/>
    <n v="19555"/>
    <n v="20666"/>
    <n v="12.25"/>
    <n v="0.50990000000000002"/>
    <n v="0.47489999999999999"/>
    <n v="0.98480000000000001"/>
    <n v="1.5199999999999991E-2"/>
    <n v="0.54600000000000004"/>
    <n v="14"/>
    <n v="4"/>
    <n v="9"/>
    <n v="8"/>
    <s v="Middle-ranked"/>
    <m/>
  </r>
  <r>
    <x v="3"/>
    <s v="AXA GROUP"/>
    <s v="2025-07-01 to 2025-12-31"/>
    <n v="16052"/>
    <n v="16159"/>
    <n v="4.7699999999999996"/>
    <n v="0.31169999999999998"/>
    <n v="0.63439999999999996"/>
    <n v="0.94609999999999994"/>
    <n v="5.3900000000000059E-2"/>
    <n v="0.58709999999999996"/>
    <n v="11"/>
    <n v="12"/>
    <n v="11.5"/>
    <n v="13"/>
    <s v="Lower-ranked"/>
    <m/>
  </r>
  <r>
    <x v="4"/>
    <s v="ALLIANZ GROUP"/>
    <s v="2025-07-01 to 2025-12-31"/>
    <n v="12025"/>
    <n v="11028"/>
    <n v="2.87"/>
    <n v="0.36109999999999998"/>
    <n v="0.48159999999999997"/>
    <n v="0.8427"/>
    <n v="0.1573"/>
    <n v="0.55859999999999999"/>
    <n v="8"/>
    <n v="15"/>
    <n v="11.5"/>
    <n v="13"/>
    <s v="Lower-ranked"/>
    <m/>
  </r>
  <r>
    <x v="5"/>
    <s v="MARKERSTUDY GROUP"/>
    <s v="2025-07-01 to 2025-12-31"/>
    <n v="11577"/>
    <n v="11307"/>
    <n v="5.23"/>
    <n v="0.68"/>
    <n v="0.31369999999999998"/>
    <n v="0.99370000000000003"/>
    <n v="6.2999999999999723E-3"/>
    <n v="0.4572"/>
    <n v="12"/>
    <n v="2"/>
    <n v="7"/>
    <n v="6"/>
    <s v="Middle-ranked"/>
    <m/>
  </r>
  <r>
    <x v="6"/>
    <s v="ESURE GROUP PLC"/>
    <s v="2025-07-01 to 2025-12-31"/>
    <n v="11352"/>
    <n v="11394"/>
    <n v="2.62"/>
    <n v="0.44540000000000002"/>
    <n v="0.50619999999999998"/>
    <n v="0.9516"/>
    <n v="4.8399999999999999E-2"/>
    <n v="0.70240000000000002"/>
    <n v="6"/>
    <n v="11"/>
    <n v="8.5"/>
    <n v="7"/>
    <s v="Middle-ranked"/>
    <m/>
  </r>
  <r>
    <x v="7"/>
    <s v="FIRST CENTRAL GROUP LIMITED"/>
    <s v="2025-07-01 to 2025-12-31"/>
    <n v="8797"/>
    <n v="8965"/>
    <n v="6.26"/>
    <n v="0.55500000000000005"/>
    <n v="0.42309999999999998"/>
    <n v="0.97809999999999997"/>
    <n v="2.1900000000000031E-2"/>
    <n v="0.42359999999999998"/>
    <n v="13"/>
    <n v="5"/>
    <n v="9"/>
    <n v="8"/>
    <s v="Middle-ranked"/>
    <m/>
  </r>
  <r>
    <x v="8"/>
    <s v="MARKERSTUDY GROUP"/>
    <s v="2025-07-01 to 2025-12-31"/>
    <n v="8517"/>
    <n v="8470"/>
    <n v="4.22"/>
    <n v="0.76270000000000004"/>
    <n v="0.2351"/>
    <n v="0.99780000000000002"/>
    <n v="2.1999999999999797E-3"/>
    <n v="0.4365"/>
    <n v="9"/>
    <n v="1"/>
    <n v="5"/>
    <n v="3"/>
    <s v="Higher-ranked"/>
    <m/>
  </r>
  <r>
    <x v="9"/>
    <s v="AXA GROUP"/>
    <s v="2025-07-01 to 2025-12-31"/>
    <n v="8125"/>
    <n v="7377"/>
    <n v="1.45"/>
    <n v="0.2586"/>
    <n v="0.71760000000000002"/>
    <n v="0.97619999999999996"/>
    <n v="2.3800000000000043E-2"/>
    <n v="0.74099999999999999"/>
    <n v="3"/>
    <n v="7"/>
    <n v="5"/>
    <n v="3"/>
    <s v="Higher-ranked"/>
    <m/>
  </r>
  <r>
    <x v="10"/>
    <s v="ASSURANT INC"/>
    <s v="2025-07-01 to 2025-12-31"/>
    <n v="6731"/>
    <n v="6825"/>
    <n v="1.18"/>
    <n v="0.65"/>
    <n v="0.34079999999999999"/>
    <n v="0.99080000000000001"/>
    <n v="9.199999999999986E-3"/>
    <n v="0.4607"/>
    <n v="2"/>
    <n v="3"/>
    <n v="2.5"/>
    <n v="1"/>
    <s v="Higher-ranked"/>
    <m/>
  </r>
  <r>
    <x v="11"/>
    <s v="INTACT FINANCIAL CORPORATION"/>
    <s v="2025-07-01 to 2025-12-31"/>
    <n v="5765"/>
    <n v="6049"/>
    <n v="2.0099999999999998"/>
    <n v="0.36059999999999998"/>
    <n v="0.55610000000000004"/>
    <n v="0.91670000000000007"/>
    <n v="8.329999999999993E-2"/>
    <n v="0.56459999999999999"/>
    <n v="4"/>
    <n v="14"/>
    <n v="9"/>
    <n v="8"/>
    <s v="Middle-ranked"/>
    <m/>
  </r>
  <r>
    <x v="12"/>
    <s v="LLOYDS BANKING GROUP PLC"/>
    <s v="2025-07-01 to 2025-12-31"/>
    <n v="5683"/>
    <n v="5680"/>
    <n v="2.17"/>
    <n v="0.2586"/>
    <n v="0.66879999999999995"/>
    <n v="0.9274"/>
    <n v="7.2599999999999998E-2"/>
    <n v="0.78239999999999998"/>
    <n v="5"/>
    <n v="13"/>
    <n v="9"/>
    <n v="8"/>
    <s v="Middle-ranked"/>
    <m/>
  </r>
  <r>
    <x v="13"/>
    <s v="SOCIETY OF LLOYD'S"/>
    <s v="2025-07-01 to 2025-12-31"/>
    <n v="5669"/>
    <n v="5756"/>
    <n v="0.65"/>
    <n v="0.26369999999999999"/>
    <n v="0.70879999999999999"/>
    <n v="0.97249999999999992"/>
    <n v="2.750000000000008E-2"/>
    <n v="0.39779999999999999"/>
    <n v="1"/>
    <n v="8"/>
    <n v="4.5"/>
    <n v="2"/>
    <s v="Higher-ranked"/>
    <m/>
  </r>
  <r>
    <x v="14"/>
    <s v="MUNICH RE"/>
    <s v="2025-07-01 to 2025-12-31"/>
    <n v="5012"/>
    <n v="5303"/>
    <n v="53.54"/>
    <n v="0.65280000000000005"/>
    <n v="0.31380000000000002"/>
    <n v="0.96660000000000013"/>
    <n v="3.3399999999999874E-2"/>
    <n v="0.1082"/>
    <n v="15"/>
    <n v="9"/>
    <n v="12"/>
    <n v="15"/>
    <s v="Lower-rank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F5C26F-BF74-4867-8514-E4A85AB53B16}"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Firm">
  <location ref="A55:C70" firstHeaderRow="0" firstDataRow="1" firstDataCol="1"/>
  <pivotFields count="17">
    <pivotField axis="axisRow" showAll="0" sortType="ascending">
      <items count="16">
        <item x="10"/>
        <item x="8"/>
        <item x="0"/>
        <item x="3"/>
        <item x="2"/>
        <item x="5"/>
        <item x="6"/>
        <item x="7"/>
        <item x="11"/>
        <item x="9"/>
        <item x="4"/>
        <item x="12"/>
        <item x="14"/>
        <item x="1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0" showAll="0"/>
    <pivotField numFmtId="10" showAll="0"/>
    <pivotField numFmtId="10" showAll="0"/>
    <pivotField numFmtId="10" showAll="0"/>
    <pivotField numFmtId="10" showAll="0"/>
    <pivotField showAll="0"/>
    <pivotField showAll="0"/>
    <pivotField dataField="1" showAll="0"/>
    <pivotField dataField="1" showAll="0"/>
    <pivotField showAll="0"/>
    <pivotField showAll="0"/>
  </pivotFields>
  <rowFields count="1">
    <field x="0"/>
  </rowFields>
  <rowItems count="15">
    <i>
      <x/>
    </i>
    <i>
      <x v="13"/>
    </i>
    <i>
      <x v="1"/>
    </i>
    <i>
      <x v="9"/>
    </i>
    <i>
      <x v="2"/>
    </i>
    <i>
      <x v="5"/>
    </i>
    <i>
      <x v="6"/>
    </i>
    <i>
      <x v="7"/>
    </i>
    <i>
      <x v="11"/>
    </i>
    <i>
      <x v="8"/>
    </i>
    <i>
      <x v="4"/>
    </i>
    <i>
      <x v="14"/>
    </i>
    <i>
      <x v="10"/>
    </i>
    <i>
      <x v="3"/>
    </i>
    <i>
      <x v="12"/>
    </i>
  </rowItems>
  <colFields count="1">
    <field x="-2"/>
  </colFields>
  <colItems count="2">
    <i>
      <x/>
    </i>
    <i i="1">
      <x v="1"/>
    </i>
  </colItems>
  <dataFields count="2">
    <dataField name="Rank" fld="14" subtotal="min" baseField="0" baseItem="9" numFmtId="1"/>
    <dataField name="Core score"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05D6AE-E7E4-4165-A4C6-A67772930A04}"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Firm">
  <location ref="D3:E18" firstHeaderRow="1" firstDataRow="1" firstDataCol="1"/>
  <pivotFields count="17">
    <pivotField axis="axisRow" showAll="0" sortType="descending">
      <items count="16">
        <item x="10"/>
        <item x="8"/>
        <item x="0"/>
        <item x="3"/>
        <item x="2"/>
        <item x="5"/>
        <item x="6"/>
        <item x="7"/>
        <item x="11"/>
        <item x="9"/>
        <item x="4"/>
        <item x="12"/>
        <item x="14"/>
        <item x="1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0" showAll="0"/>
    <pivotField numFmtId="10" showAll="0"/>
    <pivotField dataField="1" numFmtId="10" showAll="0"/>
    <pivotField numFmtId="10" showAll="0"/>
    <pivotField numFmtId="10" showAll="0"/>
    <pivotField showAll="0"/>
    <pivotField showAll="0"/>
    <pivotField showAll="0"/>
    <pivotField showAll="0"/>
    <pivotField showAll="0"/>
    <pivotField showAll="0"/>
  </pivotFields>
  <rowFields count="1">
    <field x="0"/>
  </rowFields>
  <rowItems count="15">
    <i>
      <x v="1"/>
    </i>
    <i>
      <x v="5"/>
    </i>
    <i>
      <x/>
    </i>
    <i>
      <x v="4"/>
    </i>
    <i>
      <x v="7"/>
    </i>
    <i>
      <x v="2"/>
    </i>
    <i>
      <x v="9"/>
    </i>
    <i>
      <x v="13"/>
    </i>
    <i>
      <x v="12"/>
    </i>
    <i>
      <x v="14"/>
    </i>
    <i>
      <x v="6"/>
    </i>
    <i>
      <x v="3"/>
    </i>
    <i>
      <x v="11"/>
    </i>
    <i>
      <x v="8"/>
    </i>
    <i>
      <x v="10"/>
    </i>
  </rowItems>
  <colItems count="1">
    <i/>
  </colItems>
  <dataFields count="1">
    <dataField name="Within 8 Weeks (%)" fld="8" subtotal="average" baseField="0" baseItem="4" numFmtId="1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C82E9-D27B-4A02-B3EE-49063F098F4E}"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Firm">
  <location ref="A3:B18" firstHeaderRow="1" firstDataRow="1" firstDataCol="1"/>
  <pivotFields count="17">
    <pivotField axis="axisRow" showAll="0" sortType="ascending">
      <items count="16">
        <item x="10"/>
        <item x="8"/>
        <item x="0"/>
        <item x="3"/>
        <item x="2"/>
        <item x="5"/>
        <item x="6"/>
        <item x="7"/>
        <item x="11"/>
        <item x="9"/>
        <item x="4"/>
        <item x="12"/>
        <item x="14"/>
        <item x="1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s>
  <rowFields count="1">
    <field x="0"/>
  </rowFields>
  <rowItems count="15">
    <i>
      <x v="13"/>
    </i>
    <i>
      <x/>
    </i>
    <i>
      <x v="9"/>
    </i>
    <i>
      <x v="8"/>
    </i>
    <i>
      <x v="11"/>
    </i>
    <i>
      <x v="6"/>
    </i>
    <i>
      <x v="2"/>
    </i>
    <i>
      <x v="10"/>
    </i>
    <i>
      <x v="1"/>
    </i>
    <i>
      <x v="14"/>
    </i>
    <i>
      <x v="3"/>
    </i>
    <i>
      <x v="5"/>
    </i>
    <i>
      <x v="7"/>
    </i>
    <i>
      <x v="4"/>
    </i>
    <i>
      <x v="12"/>
    </i>
  </rowItems>
  <colItems count="1">
    <i/>
  </colItems>
  <dataFields count="1">
    <dataField name="Complaints per 1,000" fld="5" subtotal="average"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 xr10:uid="{BE89CA08-6833-4CA4-9E76-2774889FB9F8}" sourceName="Firm">
  <pivotTables>
    <pivotTable tabId="12" name="PivotTable1"/>
    <pivotTable tabId="12" name="PivotTable2"/>
    <pivotTable tabId="13" name="PivotTable3"/>
  </pivotTables>
  <data>
    <tabular pivotCacheId="842759541">
      <items count="15">
        <i x="10" s="1"/>
        <i x="8" s="1"/>
        <i x="0" s="1"/>
        <i x="3" s="1"/>
        <i x="2" s="1"/>
        <i x="5" s="1"/>
        <i x="6" s="1"/>
        <i x="7" s="1"/>
        <i x="11" s="1"/>
        <i x="9" s="1"/>
        <i x="4" s="1"/>
        <i x="12" s="1"/>
        <i x="14" s="1"/>
        <i x="1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 xr10:uid="{8867EEA5-2F14-45BD-8BB6-76D726FA90E5}" cache="Slicer_Firm" caption="Firm"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4D5ED4-A746-4630-AC6A-4EE136909999}" name="tblSelection" displayName="tblSelection" ref="A1:I158" totalsRowShown="0">
  <autoFilter ref="A1:I158" xr:uid="{BC4D5ED4-A746-4630-AC6A-4EE136909999}"/>
  <sortState xmlns:xlrd2="http://schemas.microsoft.com/office/spreadsheetml/2017/richdata2" ref="A2:I158">
    <sortCondition ref="H1:H158"/>
  </sortState>
  <tableColumns count="9">
    <tableColumn id="1" xr3:uid="{840CE88F-8C0C-4943-82D5-DBDD50137B0A}" name="Firm Name"/>
    <tableColumn id="2" xr3:uid="{F23E7C64-CA03-42BF-B758-EC62DF168FF7}" name="Group"/>
    <tableColumn id="3" xr3:uid="{83BA40D4-804C-4511-9718-5B635953CC1F}" name="Joint Reporting"/>
    <tableColumn id="4" xr3:uid="{9A9D2F3B-BC4B-4C08-A3A6-94C2200C4952}" name="Reporting period"/>
    <tableColumn id="5" xr3:uid="{FA9C9F0A-B2E5-4587-9FCB-074CD0A3D2AF}" name="Insurance &amp; pure protection" dataDxfId="5"/>
    <tableColumn id="6" xr3:uid="{6120BA89-7769-4F3A-B6E1-C84E5FD23B2F}" name="Context A Complaints per 1,000" dataDxfId="4">
      <calculatedColumnFormula>_xlfn.XLOOKUP(tblSelection[[#This Row],[Firm Name]],tblContext[Firm Name],tblContext[Insurance &amp; pure protection],"Not found",0)</calculatedColumnFormula>
    </tableColumn>
    <tableColumn id="7" xr3:uid="{47A56614-AC4F-4DEE-B096-EFAB4B17CFDE}" name="Eligible?" dataDxfId="3">
      <calculatedColumnFormula>IF(AND(tblSelection[[#This Row],[Reporting period]]="2025-07-01 to 2025-12-31", tblSelection[[#This Row],[Joint Reporting]]="no", ISNUMBER(tblSelection[[#This Row],[Context A Complaints per 1,000]]),tblSelection[[#This Row],[Insurance &amp; pure protection]]&gt;0), "Yes", "No")</calculatedColumnFormula>
    </tableColumn>
    <tableColumn id="8" xr3:uid="{916A419D-CD3C-45CF-9D4C-E2A265B554D3}" name="Selection Rank" dataDxfId="2">
      <calculatedColumnFormula>IF(tblSelection[[#This Row],[Eligible?]]="Yes",1+COUNTIFS(tblSelection[Eligible?],"Yes",tblSelection[Insurance &amp; pure protection],"&gt;"&amp;tblSelection[[#This Row],[Insurance &amp; pure protection]]),"")</calculatedColumnFormula>
    </tableColumn>
    <tableColumn id="9" xr3:uid="{975C2E8C-16F5-49EF-AF0E-F597AD5E7249}" name="Selec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D82AF4-3F32-4BB7-8239-89D72A188A16}" name="tblOpened" displayName="tblOpened" ref="A1:J220" totalsRowShown="0">
  <autoFilter ref="A1:J220" xr:uid="{64D82AF4-3F32-4BB7-8239-89D72A188A16}">
    <filterColumn colId="2">
      <filters>
        <filter val="no"/>
      </filters>
    </filterColumn>
    <filterColumn colId="3">
      <filters>
        <filter val="2025-07-01 to 2025-12-31"/>
      </filters>
    </filterColumn>
    <filterColumn colId="7">
      <filters blank="1">
        <filter val="1"/>
        <filter val="1,007"/>
        <filter val="1,027"/>
        <filter val="1,050"/>
        <filter val="1,075"/>
        <filter val="1,100"/>
        <filter val="1,114"/>
        <filter val="1,126"/>
        <filter val="1,236"/>
        <filter val="1,240"/>
        <filter val="1,248"/>
        <filter val="1,266"/>
        <filter val="1,472"/>
        <filter val="1,566"/>
        <filter val="1,817"/>
        <filter val="1,851"/>
        <filter val="1,953"/>
        <filter val="1,976"/>
        <filter val="106"/>
        <filter val="11"/>
        <filter val="11,352"/>
        <filter val="11,577"/>
        <filter val="12,025"/>
        <filter val="13"/>
        <filter val="130"/>
        <filter val="148"/>
        <filter val="15"/>
        <filter val="16"/>
        <filter val="16,052"/>
        <filter val="171"/>
        <filter val="18"/>
        <filter val="183"/>
        <filter val="19,555"/>
        <filter val="199"/>
        <filter val="2"/>
        <filter val="2,101"/>
        <filter val="2,358"/>
        <filter val="2,362"/>
        <filter val="2,650"/>
        <filter val="2,771"/>
        <filter val="2,895"/>
        <filter val="2,908"/>
        <filter val="2,976"/>
        <filter val="2,980"/>
        <filter val="20"/>
        <filter val="22"/>
        <filter val="23"/>
        <filter val="253"/>
        <filter val="26"/>
        <filter val="269"/>
        <filter val="28"/>
        <filter val="293"/>
        <filter val="3"/>
        <filter val="3,281"/>
        <filter val="3,303"/>
        <filter val="3,405"/>
        <filter val="3,407"/>
        <filter val="3,482"/>
        <filter val="3,696"/>
        <filter val="3,792"/>
        <filter val="3,950"/>
        <filter val="314"/>
        <filter val="315"/>
        <filter val="353"/>
        <filter val="37,282"/>
        <filter val="4,337"/>
        <filter val="4,403"/>
        <filter val="4,417"/>
        <filter val="4,523"/>
        <filter val="4,524"/>
        <filter val="417"/>
        <filter val="42"/>
        <filter val="47"/>
        <filter val="49,795"/>
        <filter val="5,012"/>
        <filter val="5,669"/>
        <filter val="5,683"/>
        <filter val="5,765"/>
        <filter val="507"/>
        <filter val="542"/>
        <filter val="557"/>
        <filter val="560"/>
        <filter val="582"/>
        <filter val="583"/>
        <filter val="6,731"/>
        <filter val="611"/>
        <filter val="629"/>
        <filter val="636"/>
        <filter val="644"/>
        <filter val="650"/>
        <filter val="651"/>
        <filter val="711"/>
        <filter val="760"/>
        <filter val="766"/>
        <filter val="77"/>
        <filter val="770"/>
        <filter val="8,125"/>
        <filter val="8,517"/>
        <filter val="8,797"/>
        <filter val="87"/>
        <filter val="9"/>
        <filter val="909"/>
        <filter val="910"/>
        <filter val="95"/>
        <filter val="955"/>
        <filter val="958"/>
        <filter val="965"/>
      </filters>
    </filterColumn>
  </autoFilter>
  <tableColumns count="10">
    <tableColumn id="1" xr3:uid="{D08BA36C-665D-4DF7-81FE-B76A8BB82922}" name="Firm Name"/>
    <tableColumn id="2" xr3:uid="{C8412AFD-00CD-40C2-9E83-863925ED1217}" name="Group"/>
    <tableColumn id="3" xr3:uid="{A6AAB78E-0DE1-4689-BF3A-B94637890A35}" name="Joint Reporting"/>
    <tableColumn id="4" xr3:uid="{4AE6F01F-CFE8-4582-9640-E800A58A4BBA}" name="Reporting period"/>
    <tableColumn id="5" xr3:uid="{09387308-DA95-421C-A02F-6885FCED2A63}" name="Banking and credit cards" dataDxfId="19"/>
    <tableColumn id="6" xr3:uid="{E8C16359-901F-4BE3-AF1F-33448E401628}" name="Decumulation &amp; pensions"/>
    <tableColumn id="7" xr3:uid="{3C05E19A-00F5-4000-872C-A292DA39A6F0}" name="Home finance"/>
    <tableColumn id="8" xr3:uid="{C20E4C2C-59D5-4877-A608-DE7BF7646CDA}" name="Insurance &amp; pure protection"/>
    <tableColumn id="9" xr3:uid="{A21E7F9F-E391-4FF8-9F5C-361F90A35BC6}" name="Investments"/>
    <tableColumn id="10" xr3:uid="{019B4C70-F6F5-400B-9554-32C36C7BF307}" name="Grand Total"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42FE24-FFBF-4D5A-A0CC-E1A92AC02BF8}" name="tblClosed" displayName="tblClosed" ref="A1:J220" totalsRowShown="0">
  <autoFilter ref="A1:J220" xr:uid="{2A42FE24-FFBF-4D5A-A0CC-E1A92AC02BF8}"/>
  <tableColumns count="10">
    <tableColumn id="1" xr3:uid="{A84F1A4C-4781-4F70-A64F-BBD87D8777F0}" name="Firm Name"/>
    <tableColumn id="2" xr3:uid="{FEA11E7B-D455-4EB1-867C-C60500EB7BA0}" name="Group"/>
    <tableColumn id="3" xr3:uid="{ACA777E8-3F36-4667-AE9D-8AB713CCC7E0}" name="Joint Reporting"/>
    <tableColumn id="4" xr3:uid="{6F07B7C4-D12A-43FC-BFFF-681D332C1303}" name="Reporting period"/>
    <tableColumn id="5" xr3:uid="{B0BC815A-70F6-4F9D-ABCE-DF8ADF99FB2D}" name="Banking and credit cards" dataDxfId="17"/>
    <tableColumn id="6" xr3:uid="{5306EAB9-B8F8-4C92-A131-7A8B425E36D9}" name="Decumulation &amp; pensions"/>
    <tableColumn id="7" xr3:uid="{C8447C43-322F-429D-8EEE-02BB754DFDBB}" name="Home finance"/>
    <tableColumn id="8" xr3:uid="{A8B0DD27-047A-4991-9230-54EC1E9D629D}" name="Insurance &amp; pure protection"/>
    <tableColumn id="9" xr3:uid="{93A9B483-AB83-4554-B910-3752284D719A}" name="Investments"/>
    <tableColumn id="10" xr3:uid="{D6C35082-3A4C-4FFC-B450-0B4AFCFA9385}" name="Grand Total"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F1B9B9-A332-42AA-B975-8F7D6D5667F7}" name="tbl3Day" displayName="tbl3Day" ref="A1:J220" totalsRowShown="0">
  <autoFilter ref="A1:J220" xr:uid="{53F1B9B9-A332-42AA-B975-8F7D6D5667F7}"/>
  <tableColumns count="10">
    <tableColumn id="1" xr3:uid="{38346FC6-F03D-457B-8E0A-5AFEB159B206}" name="Firm Name"/>
    <tableColumn id="2" xr3:uid="{49BA2DF5-56F4-4516-96C6-C947037C19A0}" name="Group"/>
    <tableColumn id="3" xr3:uid="{F38323D1-8485-458E-8F14-60C544F72A9E}" name="Joint Reporting"/>
    <tableColumn id="4" xr3:uid="{E8A1BBCC-DE9C-4070-9EC4-D3AB942F1D3B}" name="Reporting period"/>
    <tableColumn id="5" xr3:uid="{33B5B8F9-1FF7-4C1A-B58F-EFF2FB3F7E1D}" name="Banking and credit cards" dataDxfId="15"/>
    <tableColumn id="6" xr3:uid="{B2BBEF7C-6F4A-4650-82FF-043EDA0B2484}" name="Decumulation &amp; pensions"/>
    <tableColumn id="7" xr3:uid="{072B748D-A734-479E-A049-D9A0FEF938E2}" name="Home finance"/>
    <tableColumn id="8" xr3:uid="{890073F7-A981-430B-862C-011F5DBAC72B}" name="Insurance &amp; pure protection" dataDxfId="14"/>
    <tableColumn id="9" xr3:uid="{DA16962F-A66F-4DAC-B62F-6DA0A3A5E39B}" name="Investments"/>
    <tableColumn id="10" xr3:uid="{19AD15C5-ACC7-4D72-8012-CC941B36B952}" name="Grand Total"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B9A204-81E4-44D1-8832-613481FF726A}" name="tbl3to8" displayName="tbl3to8" ref="A1:J220" totalsRowShown="0">
  <autoFilter ref="A1:J220" xr:uid="{C6B9A204-81E4-44D1-8832-613481FF726A}"/>
  <tableColumns count="10">
    <tableColumn id="1" xr3:uid="{D02C618D-1C63-4A7B-AADF-F1F2F18AE740}" name="Firm Name"/>
    <tableColumn id="2" xr3:uid="{BB844F33-19B7-4710-B065-B2422966AE5B}" name="Group"/>
    <tableColumn id="3" xr3:uid="{0D3364C4-592A-4C53-85AB-ADDA623483B5}" name="Joint Reporting"/>
    <tableColumn id="4" xr3:uid="{EE067FCA-3E51-48F4-BAD9-A51F51AD985C}" name="Reporting period"/>
    <tableColumn id="5" xr3:uid="{C1B6A15A-10EF-4BA3-84A7-E5FADB2294C4}" name="Banking and credit cards" dataDxfId="12"/>
    <tableColumn id="6" xr3:uid="{A10512CB-D923-4D91-9A5A-ED2EA25CFA18}" name="Decumulation &amp; pensions"/>
    <tableColumn id="7" xr3:uid="{6F57B7EF-B16B-4B7A-B0BE-930BEDFA4868}" name="Home finance"/>
    <tableColumn id="8" xr3:uid="{717DD537-EA41-4567-A5CC-1C263814C666}" name="Insurance &amp; pure protection" dataDxfId="11"/>
    <tableColumn id="9" xr3:uid="{003CE8A6-07D7-4AC1-A3E0-4C8A5F950C86}" name="Investments" dataDxfId="10"/>
    <tableColumn id="10" xr3:uid="{883C665B-EB20-4A90-B31D-28D41F47EA76}" name="Grand Total"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C831FF-80A0-4FEE-9AB6-C5A566744143}" name="tblUpheld" displayName="tblUpheld" ref="A1:J220" totalsRowShown="0">
  <autoFilter ref="A1:J220" xr:uid="{06C831FF-80A0-4FEE-9AB6-C5A566744143}"/>
  <tableColumns count="10">
    <tableColumn id="1" xr3:uid="{DC45B61C-9DE2-4789-8062-A892EA6A7613}" name="Firm Name"/>
    <tableColumn id="2" xr3:uid="{B77B69D9-087A-4669-8F9B-4B5E3869C3B4}" name="Group"/>
    <tableColumn id="3" xr3:uid="{4D0DC087-656F-45D5-BF21-9F839A72623E}" name="Joint Reporting"/>
    <tableColumn id="4" xr3:uid="{206E8886-4811-4E75-B56C-B42E5B213E57}" name="Reporting period"/>
    <tableColumn id="5" xr3:uid="{2EE0AEFF-A54C-405C-9E8F-7A33F0100C3E}" name="Banking and credit cards" dataDxfId="8"/>
    <tableColumn id="6" xr3:uid="{C2668AEA-8B1D-41F7-838D-53069A51E65E}" name="Decumulation &amp; pensions"/>
    <tableColumn id="7" xr3:uid="{ECAEA692-15A6-404B-9CD0-F6DC206FA1E1}" name="Home finance"/>
    <tableColumn id="8" xr3:uid="{E6E8E088-CD0C-4D19-9615-17683F97279B}" name="Insurance &amp; pure protection" dataDxfId="7"/>
    <tableColumn id="9" xr3:uid="{CE158BB2-BBD0-4F9A-8461-31D1184CDA9F}" name="Investments"/>
    <tableColumn id="10" xr3:uid="{AABC63EB-6193-421B-BB93-EEF07E423A81}" name="Grand Total" dataDxf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EF019F-7F82-427B-867E-D7C5D9A7DE63}" name="tblContext" displayName="tblContext" ref="A1:I180" totalsRowShown="0">
  <autoFilter ref="A1:I180" xr:uid="{07EF019F-7F82-427B-867E-D7C5D9A7DE63}"/>
  <tableColumns count="9">
    <tableColumn id="1" xr3:uid="{B8D2087A-D46A-4B49-8BFA-9E6924332F20}" name="Firm Name"/>
    <tableColumn id="2" xr3:uid="{A84BC101-BCE6-4C58-AAE0-98FF01266B6C}" name="Group"/>
    <tableColumn id="3" xr3:uid="{B17FA8F0-E09F-4F5D-8763-E0334E48EE6C}" name="Joint Reporting"/>
    <tableColumn id="4" xr3:uid="{E51CC4FC-D320-4823-A5FD-B80DAD0F979B}" name="Reporting period"/>
    <tableColumn id="5" xr3:uid="{B0773166-4093-4A87-B88A-557A386A08CC}" name="Banking and credit cards"/>
    <tableColumn id="6" xr3:uid="{0C0DC51F-5803-4889-B33E-04BC348D0BDD}" name="Decumulation &amp; pensions"/>
    <tableColumn id="7" xr3:uid="{35132F63-BD70-4685-873F-58EC5FA18E04}" name="Home finance"/>
    <tableColumn id="8" xr3:uid="{BF9CD382-D7F6-43C7-926F-D84780DE8259}" name="Insurance &amp; pure protection"/>
    <tableColumn id="9" xr3:uid="{B9FFB6D7-78BF-43BE-B993-687651711F65}" name="Investme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8D0027-BD0F-4D30-9502-C8F17B53574E}" name="tblAnalysis" displayName="tblAnalysis" ref="A1:Q16" totalsRowShown="0">
  <autoFilter ref="A1:Q16" xr:uid="{0E8D0027-BD0F-4D30-9502-C8F17B53574E}"/>
  <tableColumns count="17">
    <tableColumn id="1" xr3:uid="{5188D78C-352C-4574-B028-FA5EBE27D16E}" name="Firm"/>
    <tableColumn id="2" xr3:uid="{33B1E05A-E49F-4219-8BF6-64CFA0F6AEF2}" name="Group"/>
    <tableColumn id="3" xr3:uid="{8DC2A915-B05F-41BF-8B45-D18C47E3B359}" name="Reporting Period"/>
    <tableColumn id="4" xr3:uid="{43C46E49-5628-4331-9DFA-1CE9B5F9898F}" name="Complaints Opened" dataDxfId="31">
      <calculatedColumnFormula>_xlfn.XLOOKUP(tblAnalysis[[#This Row],[Firm]],tblSelection[Firm Name],tblSelection[Insurance &amp; pure protection],"Not found",0)</calculatedColumnFormula>
    </tableColumn>
    <tableColumn id="5" xr3:uid="{8470C619-64EE-4C91-8D36-07EF673078F6}" name="Complaints Closed" dataDxfId="30">
      <calculatedColumnFormula>_xlfn.XLOOKUP(tblAnalysis[[#This Row],[Firm]], tblClosed[Firm Name], tblClosed[Insurance &amp; pure protection], "Not found", 0)</calculatedColumnFormula>
    </tableColumn>
    <tableColumn id="6" xr3:uid="{356ECDBC-3D18-40D2-879A-FA26B7CDCCF8}" name="Complaints per 1,000 Policies" dataDxfId="29">
      <calculatedColumnFormula>_xlfn.XLOOKUP(tblAnalysis[[#This Row],[Firm]],tblSelection[Firm Name], tblSelection[Context A Complaints per 1,000], "Not Found", 0)</calculatedColumnFormula>
    </tableColumn>
    <tableColumn id="7" xr3:uid="{37579A84-A788-4F67-8483-A4AEDA06F0F8}" name="% Closed within 3 Days" dataDxfId="28" dataCellStyle="Per cent">
      <calculatedColumnFormula>_xlfn.XLOOKUP(tblAnalysis[[#This Row],[Firm]],tbl3Day[Firm Name], tbl3Day[Insurance &amp; pure protection],"Not found", 0)</calculatedColumnFormula>
    </tableColumn>
    <tableColumn id="8" xr3:uid="{452BD799-3E88-4588-9ADC-B332AA722B45}" name="% Closed 3 Days - 8 Weeks" dataDxfId="27" dataCellStyle="Per cent">
      <calculatedColumnFormula>_xlfn.XLOOKUP(tblAnalysis[[#This Row],[Firm]],tbl3to8[Firm Name], tbl3to8[Insurance &amp; pure protection], "Not found", 0)</calculatedColumnFormula>
    </tableColumn>
    <tableColumn id="9" xr3:uid="{B8EA24FA-1F67-4986-9C4E-F99DDE9E638F}" name="% Closed within 8 Weeks" dataDxfId="26" dataCellStyle="Per cent">
      <calculatedColumnFormula>tblAnalysis[[#This Row],[% Closed within 3 Days]]+tblAnalysis[[#This Row],[% Closed 3 Days - 8 Weeks]]</calculatedColumnFormula>
    </tableColumn>
    <tableColumn id="10" xr3:uid="{CEBACB42-3DC5-430A-8766-698906C4E92E}" name="% Closed after 8 Weeks" dataDxfId="25" dataCellStyle="Per cent">
      <calculatedColumnFormula>1-tblAnalysis[[#This Row],[% Closed within 8 Weeks]]</calculatedColumnFormula>
    </tableColumn>
    <tableColumn id="11" xr3:uid="{271BA66A-2D24-4753-85E2-5577DC3ED5D6}" name="% Upheld" dataDxfId="24" dataCellStyle="Per cent">
      <calculatedColumnFormula>_xlfn.XLOOKUP(tblAnalysis[[#This Row],[Firm]],tblUpheld[Firm Name], tblUpheld[Insurance &amp; pure protection], "not found", 0)</calculatedColumnFormula>
    </tableColumn>
    <tableColumn id="12" xr3:uid="{DD317343-03F4-480D-92D2-81FB1388307F}" name="Complaint Rate Rank" dataDxfId="23">
      <calculatedColumnFormula>_xlfn.RANK.EQ(tblAnalysis[[#This Row],[Complaints per 1,000 Policies]],tblAnalysis[Complaints per 1,000 Policies],1)</calculatedColumnFormula>
    </tableColumn>
    <tableColumn id="13" xr3:uid="{4FE6CB88-7B05-4E70-B817-31E30CCE031B}" name="8-Week Closure Rank" dataDxfId="22">
      <calculatedColumnFormula>_xlfn.RANK.EQ(tblAnalysis[[#This Row],[% Closed within 8 Weeks]],tblAnalysis[% Closed within 8 Weeks],0)</calculatedColumnFormula>
    </tableColumn>
    <tableColumn id="14" xr3:uid="{F51D05E9-4DB7-48FB-8C9F-82EFEFA8D786}" name="Core Performance Score" dataDxfId="21">
      <calculatedColumnFormula>ROUND(AVERAGE(tblAnalysis[[#This Row],[Complaint Rate Rank]],tblAnalysis[[#This Row],[8-Week Closure Rank]]),2)</calculatedColumnFormula>
    </tableColumn>
    <tableColumn id="15" xr3:uid="{B544B01A-A426-483A-949A-6AE7EA33EE9F}" name="Overall Rank" dataDxfId="20">
      <calculatedColumnFormula>_xlfn.RANK.EQ(tblAnalysis[[#This Row],[Core Performance Score]],tblAnalysis[Core Performance Score],1)</calculatedColumnFormula>
    </tableColumn>
    <tableColumn id="16" xr3:uid="{01EFD8E6-8E5E-4D21-BBB8-8F828AAAA3A5}" name="Performance Band" dataDxfId="1">
      <calculatedColumnFormula array="1">_xlfn.IFS(tblAnalysis[[#This Row],[Overall Rank]]&lt;=5,"Higher-ranked",tblAnalysis[[#This Row],[Overall Rank]]&lt;=10,"Middle-ranked",TRUE,"Lower-ranked")</calculatedColumnFormula>
    </tableColumn>
    <tableColumn id="17" xr3:uid="{7A45AAD5-CDBA-42EC-BC49-03BC9A404857}" name="Analyst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ca.org.uk/data/complaints-data/about-data" TargetMode="External"/><Relationship Id="rId1" Type="http://schemas.openxmlformats.org/officeDocument/2006/relationships/hyperlink" Target="https://www.fca.org.uk/data/complaints-data/firm-level"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CEACD-39A0-4DCA-BD94-394FEFA910FA}">
  <dimension ref="A1:F49"/>
  <sheetViews>
    <sheetView tabSelected="1" zoomScale="76" zoomScaleNormal="76" workbookViewId="0">
      <selection activeCell="H29" sqref="H29"/>
    </sheetView>
  </sheetViews>
  <sheetFormatPr defaultRowHeight="14.5" x14ac:dyDescent="0.35"/>
  <cols>
    <col min="1" max="1" width="25.7265625" bestFit="1" customWidth="1"/>
    <col min="2" max="2" width="45.81640625" bestFit="1" customWidth="1"/>
    <col min="4" max="4" width="13.81640625" bestFit="1" customWidth="1"/>
    <col min="5" max="5" width="24.81640625" bestFit="1" customWidth="1"/>
    <col min="6" max="6" width="13" customWidth="1"/>
  </cols>
  <sheetData>
    <row r="1" spans="1:6" ht="15" customHeight="1" x14ac:dyDescent="0.35">
      <c r="A1" s="19" t="s">
        <v>13</v>
      </c>
      <c r="B1" s="19"/>
      <c r="C1" s="19"/>
      <c r="D1" s="19"/>
      <c r="E1" s="19"/>
      <c r="F1" s="19"/>
    </row>
    <row r="2" spans="1:6" ht="18.5" x14ac:dyDescent="0.45">
      <c r="A2" s="5"/>
      <c r="B2" s="6"/>
    </row>
    <row r="3" spans="1:6" x14ac:dyDescent="0.35">
      <c r="A3" s="2" t="s">
        <v>0</v>
      </c>
      <c r="B3" s="2" t="s">
        <v>1</v>
      </c>
    </row>
    <row r="4" spans="1:6" x14ac:dyDescent="0.35">
      <c r="A4" t="s">
        <v>6</v>
      </c>
      <c r="B4" t="s">
        <v>2</v>
      </c>
    </row>
    <row r="5" spans="1:6" x14ac:dyDescent="0.35">
      <c r="A5" t="s">
        <v>3</v>
      </c>
      <c r="B5" t="s">
        <v>474</v>
      </c>
    </row>
    <row r="6" spans="1:6" x14ac:dyDescent="0.35">
      <c r="A6" t="s">
        <v>7</v>
      </c>
      <c r="B6" t="s">
        <v>4</v>
      </c>
    </row>
    <row r="7" spans="1:6" x14ac:dyDescent="0.35">
      <c r="A7" t="s">
        <v>8</v>
      </c>
      <c r="B7" t="s">
        <v>5</v>
      </c>
    </row>
    <row r="8" spans="1:6" x14ac:dyDescent="0.35">
      <c r="A8" t="s">
        <v>9</v>
      </c>
      <c r="B8" s="1">
        <v>15</v>
      </c>
    </row>
    <row r="9" spans="1:6" x14ac:dyDescent="0.35">
      <c r="A9" t="s">
        <v>10</v>
      </c>
      <c r="B9" s="4">
        <v>46239</v>
      </c>
    </row>
    <row r="10" spans="1:6" x14ac:dyDescent="0.35">
      <c r="A10" t="s">
        <v>11</v>
      </c>
      <c r="B10" t="s">
        <v>12</v>
      </c>
    </row>
    <row r="12" spans="1:6" ht="16.5" customHeight="1" x14ac:dyDescent="0.35">
      <c r="A12" s="20" t="s">
        <v>16</v>
      </c>
      <c r="B12" s="20"/>
      <c r="C12" s="20"/>
      <c r="D12" s="20"/>
      <c r="E12" s="20"/>
      <c r="F12" s="20"/>
    </row>
    <row r="13" spans="1:6" x14ac:dyDescent="0.35">
      <c r="A13" s="21" t="s">
        <v>15</v>
      </c>
      <c r="B13" s="21"/>
      <c r="C13" s="21"/>
      <c r="D13" s="21"/>
      <c r="E13" s="21"/>
      <c r="F13" s="21"/>
    </row>
    <row r="14" spans="1:6" x14ac:dyDescent="0.35">
      <c r="A14" s="21"/>
      <c r="B14" s="21"/>
      <c r="C14" s="21"/>
      <c r="D14" s="21"/>
      <c r="E14" s="21"/>
      <c r="F14" s="21"/>
    </row>
    <row r="15" spans="1:6" ht="15" customHeight="1" x14ac:dyDescent="0.35">
      <c r="A15" s="22" t="s">
        <v>17</v>
      </c>
      <c r="B15" s="22"/>
      <c r="C15" s="22"/>
      <c r="D15" s="22"/>
      <c r="E15" s="22"/>
      <c r="F15" s="22"/>
    </row>
    <row r="16" spans="1:6" x14ac:dyDescent="0.35">
      <c r="A16" s="8"/>
      <c r="B16" t="s">
        <v>14</v>
      </c>
    </row>
    <row r="17" spans="1:6" ht="18.5" x14ac:dyDescent="0.45">
      <c r="A17" s="17" t="s">
        <v>18</v>
      </c>
      <c r="B17" s="23"/>
      <c r="C17" s="23"/>
      <c r="D17" s="23"/>
      <c r="E17" s="23"/>
      <c r="F17" s="23"/>
    </row>
    <row r="18" spans="1:6" x14ac:dyDescent="0.35">
      <c r="A18" s="9">
        <v>1</v>
      </c>
      <c r="B18" t="s">
        <v>19</v>
      </c>
    </row>
    <row r="19" spans="1:6" ht="29" x14ac:dyDescent="0.35">
      <c r="A19">
        <v>2</v>
      </c>
      <c r="B19" s="7" t="s">
        <v>20</v>
      </c>
    </row>
    <row r="20" spans="1:6" x14ac:dyDescent="0.35">
      <c r="A20">
        <v>3</v>
      </c>
      <c r="B20" t="s">
        <v>21</v>
      </c>
    </row>
    <row r="21" spans="1:6" ht="29" x14ac:dyDescent="0.35">
      <c r="A21">
        <v>4</v>
      </c>
      <c r="B21" s="7" t="s">
        <v>22</v>
      </c>
    </row>
    <row r="22" spans="1:6" ht="29" x14ac:dyDescent="0.35">
      <c r="A22">
        <v>5</v>
      </c>
      <c r="B22" s="7" t="s">
        <v>437</v>
      </c>
    </row>
    <row r="24" spans="1:6" ht="18.5" x14ac:dyDescent="0.45">
      <c r="A24" s="17" t="s">
        <v>23</v>
      </c>
      <c r="B24" s="17"/>
      <c r="C24" s="17"/>
      <c r="D24" s="17"/>
      <c r="E24" s="17"/>
      <c r="F24" s="17"/>
    </row>
    <row r="25" spans="1:6" x14ac:dyDescent="0.35">
      <c r="A25" s="15" t="s">
        <v>24</v>
      </c>
      <c r="B25" s="15"/>
      <c r="C25" s="15"/>
      <c r="D25" s="15" t="s">
        <v>28</v>
      </c>
      <c r="E25" s="15"/>
      <c r="F25" s="15"/>
    </row>
    <row r="26" spans="1:6" x14ac:dyDescent="0.35">
      <c r="A26" s="15" t="s">
        <v>25</v>
      </c>
      <c r="B26" s="15"/>
      <c r="C26" s="15"/>
      <c r="D26" s="18" t="s">
        <v>29</v>
      </c>
      <c r="E26" s="18"/>
      <c r="F26" s="18"/>
    </row>
    <row r="27" spans="1:6" x14ac:dyDescent="0.35">
      <c r="A27" s="15" t="s">
        <v>26</v>
      </c>
      <c r="B27" s="15"/>
      <c r="C27" s="15"/>
      <c r="D27" s="18" t="s">
        <v>31</v>
      </c>
      <c r="E27" s="18"/>
      <c r="F27" s="18"/>
    </row>
    <row r="28" spans="1:6" x14ac:dyDescent="0.35">
      <c r="A28" s="15" t="s">
        <v>27</v>
      </c>
      <c r="B28" s="15"/>
      <c r="C28" s="15"/>
      <c r="D28" s="15" t="s">
        <v>30</v>
      </c>
      <c r="E28" s="15"/>
      <c r="F28" s="15"/>
    </row>
    <row r="29" spans="1:6" ht="32.5" customHeight="1" x14ac:dyDescent="0.35">
      <c r="A29" s="29" t="s">
        <v>438</v>
      </c>
      <c r="B29" s="29"/>
      <c r="C29" s="29"/>
      <c r="D29" s="29"/>
      <c r="E29" s="29"/>
      <c r="F29" s="29"/>
    </row>
    <row r="30" spans="1:6" ht="18.5" x14ac:dyDescent="0.45">
      <c r="A30" s="17" t="s">
        <v>32</v>
      </c>
      <c r="B30" s="17"/>
      <c r="C30" s="17"/>
      <c r="D30" s="17"/>
      <c r="E30" s="17"/>
      <c r="F30" s="17"/>
    </row>
    <row r="31" spans="1:6" x14ac:dyDescent="0.35">
      <c r="A31" s="16" t="s">
        <v>33</v>
      </c>
      <c r="B31" s="16"/>
      <c r="C31" s="16"/>
      <c r="D31" s="16"/>
      <c r="E31" s="16"/>
      <c r="F31" s="16"/>
    </row>
    <row r="32" spans="1:6" x14ac:dyDescent="0.35">
      <c r="A32" s="16"/>
      <c r="B32" s="16"/>
      <c r="C32" s="16"/>
      <c r="D32" s="16"/>
      <c r="E32" s="16"/>
      <c r="F32" s="16"/>
    </row>
    <row r="33" spans="1:6" x14ac:dyDescent="0.35">
      <c r="A33" s="16"/>
      <c r="B33" s="16"/>
      <c r="C33" s="16"/>
      <c r="D33" s="16"/>
      <c r="E33" s="16"/>
      <c r="F33" s="16"/>
    </row>
    <row r="35" spans="1:6" ht="18.5" x14ac:dyDescent="0.45">
      <c r="A35" s="17" t="s">
        <v>34</v>
      </c>
      <c r="B35" s="17"/>
      <c r="C35" s="17"/>
      <c r="D35" s="17"/>
      <c r="E35" s="17"/>
      <c r="F35" s="17"/>
    </row>
    <row r="36" spans="1:6" x14ac:dyDescent="0.35">
      <c r="A36" s="2" t="s">
        <v>35</v>
      </c>
      <c r="B36" s="2" t="s">
        <v>36</v>
      </c>
      <c r="C36" s="2" t="s">
        <v>37</v>
      </c>
      <c r="D36" s="2" t="s">
        <v>38</v>
      </c>
      <c r="E36" s="2" t="s">
        <v>39</v>
      </c>
      <c r="F36" s="2" t="s">
        <v>475</v>
      </c>
    </row>
    <row r="37" spans="1:6" x14ac:dyDescent="0.35">
      <c r="A37" t="s">
        <v>40</v>
      </c>
      <c r="B37" t="s">
        <v>41</v>
      </c>
      <c r="C37" t="s">
        <v>4</v>
      </c>
      <c r="D37" s="3">
        <v>46239</v>
      </c>
      <c r="E37" t="s">
        <v>42</v>
      </c>
      <c r="F37" s="33" t="s">
        <v>476</v>
      </c>
    </row>
    <row r="38" spans="1:6" x14ac:dyDescent="0.35">
      <c r="A38" t="s">
        <v>43</v>
      </c>
      <c r="B38" t="s">
        <v>41</v>
      </c>
      <c r="C38" t="s">
        <v>44</v>
      </c>
      <c r="D38" s="3">
        <v>46239</v>
      </c>
      <c r="E38" t="s">
        <v>45</v>
      </c>
      <c r="F38" s="33" t="s">
        <v>477</v>
      </c>
    </row>
    <row r="40" spans="1:6" ht="18.5" x14ac:dyDescent="0.45">
      <c r="A40" s="17" t="s">
        <v>46</v>
      </c>
      <c r="B40" s="17"/>
      <c r="C40" s="17"/>
      <c r="D40" s="17"/>
      <c r="E40" s="17"/>
      <c r="F40" s="17"/>
    </row>
    <row r="41" spans="1:6" x14ac:dyDescent="0.35">
      <c r="A41" s="15" t="s">
        <v>47</v>
      </c>
      <c r="B41" s="15"/>
      <c r="C41" s="15"/>
      <c r="D41" s="15"/>
      <c r="E41" s="15"/>
      <c r="F41" s="15"/>
    </row>
    <row r="42" spans="1:6" x14ac:dyDescent="0.35">
      <c r="A42" s="15" t="s">
        <v>48</v>
      </c>
      <c r="B42" s="15"/>
      <c r="C42" s="15"/>
      <c r="D42" s="15"/>
      <c r="E42" s="15"/>
      <c r="F42" s="15"/>
    </row>
    <row r="43" spans="1:6" x14ac:dyDescent="0.35">
      <c r="A43" s="15" t="s">
        <v>49</v>
      </c>
      <c r="B43" s="15"/>
      <c r="C43" s="15"/>
      <c r="D43" s="15"/>
      <c r="E43" s="15"/>
      <c r="F43" s="15"/>
    </row>
    <row r="44" spans="1:6" x14ac:dyDescent="0.35">
      <c r="A44" s="15" t="s">
        <v>50</v>
      </c>
      <c r="B44" s="15"/>
      <c r="C44" s="15"/>
      <c r="D44" s="15"/>
      <c r="E44" s="15"/>
      <c r="F44" s="15"/>
    </row>
    <row r="45" spans="1:6" x14ac:dyDescent="0.35">
      <c r="A45" s="15" t="s">
        <v>51</v>
      </c>
      <c r="B45" s="15"/>
      <c r="C45" s="15"/>
      <c r="D45" s="15"/>
      <c r="E45" s="15"/>
      <c r="F45" s="15"/>
    </row>
    <row r="46" spans="1:6" x14ac:dyDescent="0.35">
      <c r="A46" s="27" t="s">
        <v>461</v>
      </c>
      <c r="B46" s="27"/>
      <c r="C46" s="27"/>
      <c r="D46" s="27"/>
      <c r="E46" s="27"/>
      <c r="F46" s="27"/>
    </row>
    <row r="47" spans="1:6" x14ac:dyDescent="0.35">
      <c r="A47" s="27" t="s">
        <v>462</v>
      </c>
      <c r="B47" s="27"/>
      <c r="C47" s="27"/>
      <c r="D47" s="27"/>
      <c r="E47" s="27"/>
      <c r="F47" s="27"/>
    </row>
    <row r="48" spans="1:6" x14ac:dyDescent="0.35">
      <c r="A48" s="27" t="s">
        <v>463</v>
      </c>
      <c r="B48" s="27"/>
      <c r="C48" s="27"/>
      <c r="D48" s="27"/>
      <c r="E48" s="27"/>
      <c r="F48" s="27"/>
    </row>
    <row r="49" spans="1:6" x14ac:dyDescent="0.35">
      <c r="A49" s="27" t="s">
        <v>464</v>
      </c>
      <c r="B49" s="27"/>
      <c r="C49" s="27"/>
      <c r="D49" s="27"/>
      <c r="E49" s="27"/>
      <c r="F49" s="27"/>
    </row>
  </sheetData>
  <mergeCells count="28">
    <mergeCell ref="A46:F46"/>
    <mergeCell ref="A47:F47"/>
    <mergeCell ref="A48:F48"/>
    <mergeCell ref="A49:F49"/>
    <mergeCell ref="A1:F1"/>
    <mergeCell ref="A12:F12"/>
    <mergeCell ref="A13:F14"/>
    <mergeCell ref="A15:F15"/>
    <mergeCell ref="A17:F17"/>
    <mergeCell ref="A30:F30"/>
    <mergeCell ref="A24:F24"/>
    <mergeCell ref="A25:C25"/>
    <mergeCell ref="D25:F25"/>
    <mergeCell ref="A26:C26"/>
    <mergeCell ref="A27:C27"/>
    <mergeCell ref="A28:C28"/>
    <mergeCell ref="D26:F26"/>
    <mergeCell ref="D27:F27"/>
    <mergeCell ref="D28:F28"/>
    <mergeCell ref="A29:F29"/>
    <mergeCell ref="A43:F43"/>
    <mergeCell ref="A44:F44"/>
    <mergeCell ref="A45:F45"/>
    <mergeCell ref="A31:F33"/>
    <mergeCell ref="A35:F35"/>
    <mergeCell ref="A40:F40"/>
    <mergeCell ref="A41:F41"/>
    <mergeCell ref="A42:F42"/>
  </mergeCells>
  <hyperlinks>
    <hyperlink ref="F37" r:id="rId1" xr:uid="{17DC039F-25FF-4BFB-A2E1-7C3916F29EFC}"/>
    <hyperlink ref="F38" r:id="rId2" xr:uid="{E5D558B8-DC12-401A-90FD-E47C682FE077}"/>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D4CD-6CB2-47BA-8F10-B01867BEA03B}">
  <dimension ref="A1:K70"/>
  <sheetViews>
    <sheetView zoomScale="84" zoomScaleNormal="84" workbookViewId="0">
      <selection activeCell="A56" sqref="A56"/>
    </sheetView>
  </sheetViews>
  <sheetFormatPr defaultRowHeight="14.5" x14ac:dyDescent="0.35"/>
  <cols>
    <col min="1" max="1" width="39.7265625" bestFit="1" customWidth="1"/>
    <col min="2" max="2" width="5.1796875" bestFit="1" customWidth="1"/>
    <col min="3" max="3" width="10.1796875" bestFit="1" customWidth="1"/>
  </cols>
  <sheetData>
    <row r="1" spans="1:11" ht="21" x14ac:dyDescent="0.5">
      <c r="A1" s="32" t="s">
        <v>440</v>
      </c>
      <c r="B1" s="32"/>
      <c r="C1" s="32"/>
      <c r="D1" s="32"/>
      <c r="E1" s="32"/>
      <c r="F1" s="32"/>
      <c r="G1" s="32"/>
      <c r="H1" s="32"/>
      <c r="I1" s="32"/>
      <c r="J1" s="32"/>
      <c r="K1" s="32"/>
    </row>
    <row r="2" spans="1:11" x14ac:dyDescent="0.35">
      <c r="A2" t="s">
        <v>441</v>
      </c>
    </row>
    <row r="54" spans="1:3" x14ac:dyDescent="0.35">
      <c r="A54" t="s">
        <v>443</v>
      </c>
    </row>
    <row r="55" spans="1:3" x14ac:dyDescent="0.35">
      <c r="A55" s="24" t="s">
        <v>421</v>
      </c>
      <c r="B55" t="s">
        <v>442</v>
      </c>
      <c r="C55" t="s">
        <v>444</v>
      </c>
    </row>
    <row r="56" spans="1:3" x14ac:dyDescent="0.35">
      <c r="A56" s="1" t="s">
        <v>110</v>
      </c>
      <c r="B56" s="26">
        <v>1</v>
      </c>
      <c r="C56" s="25">
        <v>2.5</v>
      </c>
    </row>
    <row r="57" spans="1:3" x14ac:dyDescent="0.35">
      <c r="A57" s="1" t="s">
        <v>350</v>
      </c>
      <c r="B57" s="26">
        <v>2</v>
      </c>
      <c r="C57" s="25">
        <v>4.5</v>
      </c>
    </row>
    <row r="58" spans="1:3" x14ac:dyDescent="0.35">
      <c r="A58" s="1" t="s">
        <v>116</v>
      </c>
      <c r="B58" s="26">
        <v>3</v>
      </c>
      <c r="C58" s="25">
        <v>5</v>
      </c>
    </row>
    <row r="59" spans="1:3" x14ac:dyDescent="0.35">
      <c r="A59" s="1" t="s">
        <v>251</v>
      </c>
      <c r="B59" s="26">
        <v>3</v>
      </c>
      <c r="C59" s="25">
        <v>5</v>
      </c>
    </row>
    <row r="60" spans="1:3" x14ac:dyDescent="0.35">
      <c r="A60" s="1" t="s">
        <v>123</v>
      </c>
      <c r="B60" s="26">
        <v>5</v>
      </c>
      <c r="C60" s="25">
        <v>6.5</v>
      </c>
    </row>
    <row r="61" spans="1:3" x14ac:dyDescent="0.35">
      <c r="A61" s="1" t="s">
        <v>139</v>
      </c>
      <c r="B61" s="26">
        <v>6</v>
      </c>
      <c r="C61" s="25">
        <v>7</v>
      </c>
    </row>
    <row r="62" spans="1:3" x14ac:dyDescent="0.35">
      <c r="A62" s="1" t="s">
        <v>200</v>
      </c>
      <c r="B62" s="26">
        <v>7</v>
      </c>
      <c r="C62" s="25">
        <v>8.5</v>
      </c>
    </row>
    <row r="63" spans="1:3" x14ac:dyDescent="0.35">
      <c r="A63" s="1" t="s">
        <v>218</v>
      </c>
      <c r="B63" s="26">
        <v>8</v>
      </c>
      <c r="C63" s="25">
        <v>9</v>
      </c>
    </row>
    <row r="64" spans="1:3" x14ac:dyDescent="0.35">
      <c r="A64" s="1" t="s">
        <v>274</v>
      </c>
      <c r="B64" s="26">
        <v>8</v>
      </c>
      <c r="C64" s="25">
        <v>9</v>
      </c>
    </row>
    <row r="65" spans="1:3" x14ac:dyDescent="0.35">
      <c r="A65" s="1" t="s">
        <v>249</v>
      </c>
      <c r="B65" s="26">
        <v>8</v>
      </c>
      <c r="C65" s="25">
        <v>9</v>
      </c>
    </row>
    <row r="66" spans="1:3" x14ac:dyDescent="0.35">
      <c r="A66" s="1" t="s">
        <v>131</v>
      </c>
      <c r="B66" s="26">
        <v>8</v>
      </c>
      <c r="C66" s="25">
        <v>9</v>
      </c>
    </row>
    <row r="67" spans="1:3" x14ac:dyDescent="0.35">
      <c r="A67" s="1" t="s">
        <v>382</v>
      </c>
      <c r="B67" s="26">
        <v>12</v>
      </c>
      <c r="C67" s="25">
        <v>10</v>
      </c>
    </row>
    <row r="68" spans="1:3" x14ac:dyDescent="0.35">
      <c r="A68" s="1" t="s">
        <v>273</v>
      </c>
      <c r="B68" s="26">
        <v>13</v>
      </c>
      <c r="C68" s="25">
        <v>11.5</v>
      </c>
    </row>
    <row r="69" spans="1:3" x14ac:dyDescent="0.35">
      <c r="A69" s="1" t="s">
        <v>130</v>
      </c>
      <c r="B69" s="26">
        <v>13</v>
      </c>
      <c r="C69" s="25">
        <v>11.5</v>
      </c>
    </row>
    <row r="70" spans="1:3" x14ac:dyDescent="0.35">
      <c r="A70" s="1" t="s">
        <v>291</v>
      </c>
      <c r="B70" s="26">
        <v>15</v>
      </c>
      <c r="C70" s="25">
        <v>12</v>
      </c>
    </row>
  </sheetData>
  <mergeCells count="1">
    <mergeCell ref="A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0486-C795-46F2-A96E-8C8F4812ADDE}">
  <dimension ref="A1:R42"/>
  <sheetViews>
    <sheetView topLeftCell="A30" workbookViewId="0">
      <selection activeCell="A35" sqref="A35:D35"/>
    </sheetView>
  </sheetViews>
  <sheetFormatPr defaultRowHeight="14.5" x14ac:dyDescent="0.35"/>
  <sheetData>
    <row r="1" spans="1:18" ht="23.5" x14ac:dyDescent="0.55000000000000004">
      <c r="A1" s="30" t="s">
        <v>465</v>
      </c>
      <c r="B1" s="30"/>
      <c r="C1" s="30"/>
      <c r="D1" s="30"/>
      <c r="E1" s="30"/>
      <c r="F1" s="30"/>
      <c r="G1" s="30"/>
      <c r="H1" s="30"/>
      <c r="I1" s="30"/>
      <c r="J1" s="30"/>
      <c r="K1" s="30"/>
      <c r="L1" s="30"/>
      <c r="M1" s="30"/>
      <c r="N1" s="30"/>
      <c r="O1" s="30"/>
      <c r="P1" s="30"/>
      <c r="Q1" s="30"/>
      <c r="R1" s="30"/>
    </row>
    <row r="3" spans="1:18" ht="21" x14ac:dyDescent="0.5">
      <c r="A3" s="31" t="s">
        <v>466</v>
      </c>
      <c r="B3" s="31"/>
      <c r="C3" s="31"/>
    </row>
    <row r="4" spans="1:18" x14ac:dyDescent="0.35">
      <c r="A4" s="29" t="s">
        <v>470</v>
      </c>
      <c r="B4" s="29"/>
      <c r="C4" s="29"/>
      <c r="D4" s="29"/>
      <c r="E4" s="29"/>
      <c r="F4" s="29"/>
      <c r="G4" s="29"/>
      <c r="H4" s="29"/>
      <c r="I4" s="29"/>
      <c r="J4" s="29"/>
      <c r="K4" s="29"/>
      <c r="L4" s="29"/>
      <c r="M4" s="29"/>
      <c r="N4" s="29"/>
      <c r="O4" s="29"/>
      <c r="P4" s="29"/>
      <c r="Q4" s="29"/>
      <c r="R4" s="29"/>
    </row>
    <row r="5" spans="1:18" x14ac:dyDescent="0.35">
      <c r="A5" s="29"/>
      <c r="B5" s="29"/>
      <c r="C5" s="29"/>
      <c r="D5" s="29"/>
      <c r="E5" s="29"/>
      <c r="F5" s="29"/>
      <c r="G5" s="29"/>
      <c r="H5" s="29"/>
      <c r="I5" s="29"/>
      <c r="J5" s="29"/>
      <c r="K5" s="29"/>
      <c r="L5" s="29"/>
      <c r="M5" s="29"/>
      <c r="N5" s="29"/>
      <c r="O5" s="29"/>
      <c r="P5" s="29"/>
      <c r="Q5" s="29"/>
      <c r="R5" s="29"/>
    </row>
    <row r="6" spans="1:18" x14ac:dyDescent="0.35">
      <c r="A6" s="29"/>
      <c r="B6" s="29"/>
      <c r="C6" s="29"/>
      <c r="D6" s="29"/>
      <c r="E6" s="29"/>
      <c r="F6" s="29"/>
      <c r="G6" s="29"/>
      <c r="H6" s="29"/>
      <c r="I6" s="29"/>
      <c r="J6" s="29"/>
      <c r="K6" s="29"/>
      <c r="L6" s="29"/>
      <c r="M6" s="29"/>
      <c r="N6" s="29"/>
      <c r="O6" s="29"/>
      <c r="P6" s="29"/>
      <c r="Q6" s="29"/>
      <c r="R6" s="29"/>
    </row>
    <row r="8" spans="1:18" ht="21" x14ac:dyDescent="0.5">
      <c r="A8" s="31" t="s">
        <v>467</v>
      </c>
      <c r="B8" s="31"/>
      <c r="C8" s="31"/>
    </row>
    <row r="9" spans="1:18" x14ac:dyDescent="0.35">
      <c r="A9" s="29" t="s">
        <v>471</v>
      </c>
      <c r="B9" s="29"/>
      <c r="C9" s="29"/>
      <c r="D9" s="29"/>
      <c r="E9" s="29"/>
      <c r="F9" s="29"/>
      <c r="G9" s="29"/>
      <c r="H9" s="29"/>
      <c r="I9" s="29"/>
      <c r="J9" s="29"/>
      <c r="K9" s="29"/>
      <c r="L9" s="29"/>
      <c r="M9" s="29"/>
      <c r="N9" s="29"/>
      <c r="O9" s="29"/>
      <c r="P9" s="29"/>
      <c r="Q9" s="29"/>
      <c r="R9" s="29"/>
    </row>
    <row r="10" spans="1:18" x14ac:dyDescent="0.35">
      <c r="A10" s="29"/>
      <c r="B10" s="29"/>
      <c r="C10" s="29"/>
      <c r="D10" s="29"/>
      <c r="E10" s="29"/>
      <c r="F10" s="29"/>
      <c r="G10" s="29"/>
      <c r="H10" s="29"/>
      <c r="I10" s="29"/>
      <c r="J10" s="29"/>
      <c r="K10" s="29"/>
      <c r="L10" s="29"/>
      <c r="M10" s="29"/>
      <c r="N10" s="29"/>
      <c r="O10" s="29"/>
      <c r="P10" s="29"/>
      <c r="Q10" s="29"/>
      <c r="R10" s="29"/>
    </row>
    <row r="11" spans="1:18" x14ac:dyDescent="0.35">
      <c r="A11" s="29"/>
      <c r="B11" s="29"/>
      <c r="C11" s="29"/>
      <c r="D11" s="29"/>
      <c r="E11" s="29"/>
      <c r="F11" s="29"/>
      <c r="G11" s="29"/>
      <c r="H11" s="29"/>
      <c r="I11" s="29"/>
      <c r="J11" s="29"/>
      <c r="K11" s="29"/>
      <c r="L11" s="29"/>
      <c r="M11" s="29"/>
      <c r="N11" s="29"/>
      <c r="O11" s="29"/>
      <c r="P11" s="29"/>
      <c r="Q11" s="29"/>
      <c r="R11" s="29"/>
    </row>
    <row r="12" spans="1:18" x14ac:dyDescent="0.35">
      <c r="A12" s="29"/>
      <c r="B12" s="29"/>
      <c r="C12" s="29"/>
      <c r="D12" s="29"/>
      <c r="E12" s="29"/>
      <c r="F12" s="29"/>
      <c r="G12" s="29"/>
      <c r="H12" s="29"/>
      <c r="I12" s="29"/>
      <c r="J12" s="29"/>
      <c r="K12" s="29"/>
      <c r="L12" s="29"/>
      <c r="M12" s="29"/>
      <c r="N12" s="29"/>
      <c r="O12" s="29"/>
      <c r="P12" s="29"/>
      <c r="Q12" s="29"/>
      <c r="R12" s="29"/>
    </row>
    <row r="13" spans="1:18" x14ac:dyDescent="0.35">
      <c r="A13" s="29"/>
      <c r="B13" s="29"/>
      <c r="C13" s="29"/>
      <c r="D13" s="29"/>
      <c r="E13" s="29"/>
      <c r="F13" s="29"/>
      <c r="G13" s="29"/>
      <c r="H13" s="29"/>
      <c r="I13" s="29"/>
      <c r="J13" s="29"/>
      <c r="K13" s="29"/>
      <c r="L13" s="29"/>
      <c r="M13" s="29"/>
      <c r="N13" s="29"/>
      <c r="O13" s="29"/>
      <c r="P13" s="29"/>
      <c r="Q13" s="29"/>
      <c r="R13" s="29"/>
    </row>
    <row r="14" spans="1:18" x14ac:dyDescent="0.35">
      <c r="A14" s="29"/>
      <c r="B14" s="29"/>
      <c r="C14" s="29"/>
      <c r="D14" s="29"/>
      <c r="E14" s="29"/>
      <c r="F14" s="29"/>
      <c r="G14" s="29"/>
      <c r="H14" s="29"/>
      <c r="I14" s="29"/>
      <c r="J14" s="29"/>
      <c r="K14" s="29"/>
      <c r="L14" s="29"/>
      <c r="M14" s="29"/>
      <c r="N14" s="29"/>
      <c r="O14" s="29"/>
      <c r="P14" s="29"/>
      <c r="Q14" s="29"/>
      <c r="R14" s="29"/>
    </row>
    <row r="15" spans="1:18" x14ac:dyDescent="0.35">
      <c r="A15" s="29"/>
      <c r="B15" s="29"/>
      <c r="C15" s="29"/>
      <c r="D15" s="29"/>
      <c r="E15" s="29"/>
      <c r="F15" s="29"/>
      <c r="G15" s="29"/>
      <c r="H15" s="29"/>
      <c r="I15" s="29"/>
      <c r="J15" s="29"/>
      <c r="K15" s="29"/>
      <c r="L15" s="29"/>
      <c r="M15" s="29"/>
      <c r="N15" s="29"/>
      <c r="O15" s="29"/>
      <c r="P15" s="29"/>
      <c r="Q15" s="29"/>
      <c r="R15" s="29"/>
    </row>
    <row r="16" spans="1:18" x14ac:dyDescent="0.35">
      <c r="A16" s="29"/>
      <c r="B16" s="29"/>
      <c r="C16" s="29"/>
      <c r="D16" s="29"/>
      <c r="E16" s="29"/>
      <c r="F16" s="29"/>
      <c r="G16" s="29"/>
      <c r="H16" s="29"/>
      <c r="I16" s="29"/>
      <c r="J16" s="29"/>
      <c r="K16" s="29"/>
      <c r="L16" s="29"/>
      <c r="M16" s="29"/>
      <c r="N16" s="29"/>
      <c r="O16" s="29"/>
      <c r="P16" s="29"/>
      <c r="Q16" s="29"/>
      <c r="R16" s="29"/>
    </row>
    <row r="17" spans="1:18" x14ac:dyDescent="0.35">
      <c r="A17" s="29"/>
      <c r="B17" s="29"/>
      <c r="C17" s="29"/>
      <c r="D17" s="29"/>
      <c r="E17" s="29"/>
      <c r="F17" s="29"/>
      <c r="G17" s="29"/>
      <c r="H17" s="29"/>
      <c r="I17" s="29"/>
      <c r="J17" s="29"/>
      <c r="K17" s="29"/>
      <c r="L17" s="29"/>
      <c r="M17" s="29"/>
      <c r="N17" s="29"/>
      <c r="O17" s="29"/>
      <c r="P17" s="29"/>
      <c r="Q17" s="29"/>
      <c r="R17" s="29"/>
    </row>
    <row r="18" spans="1:18" x14ac:dyDescent="0.35">
      <c r="A18" s="29"/>
      <c r="B18" s="29"/>
      <c r="C18" s="29"/>
      <c r="D18" s="29"/>
      <c r="E18" s="29"/>
      <c r="F18" s="29"/>
      <c r="G18" s="29"/>
      <c r="H18" s="29"/>
      <c r="I18" s="29"/>
      <c r="J18" s="29"/>
      <c r="K18" s="29"/>
      <c r="L18" s="29"/>
      <c r="M18" s="29"/>
      <c r="N18" s="29"/>
      <c r="O18" s="29"/>
      <c r="P18" s="29"/>
      <c r="Q18" s="29"/>
      <c r="R18" s="29"/>
    </row>
    <row r="19" spans="1:18" x14ac:dyDescent="0.35">
      <c r="A19" s="29"/>
      <c r="B19" s="29"/>
      <c r="C19" s="29"/>
      <c r="D19" s="29"/>
      <c r="E19" s="29"/>
      <c r="F19" s="29"/>
      <c r="G19" s="29"/>
      <c r="H19" s="29"/>
      <c r="I19" s="29"/>
      <c r="J19" s="29"/>
      <c r="K19" s="29"/>
      <c r="L19" s="29"/>
      <c r="M19" s="29"/>
      <c r="N19" s="29"/>
      <c r="O19" s="29"/>
      <c r="P19" s="29"/>
      <c r="Q19" s="29"/>
      <c r="R19" s="29"/>
    </row>
    <row r="20" spans="1:18" x14ac:dyDescent="0.35">
      <c r="A20" s="29"/>
      <c r="B20" s="29"/>
      <c r="C20" s="29"/>
      <c r="D20" s="29"/>
      <c r="E20" s="29"/>
      <c r="F20" s="29"/>
      <c r="G20" s="29"/>
      <c r="H20" s="29"/>
      <c r="I20" s="29"/>
      <c r="J20" s="29"/>
      <c r="K20" s="29"/>
      <c r="L20" s="29"/>
      <c r="M20" s="29"/>
      <c r="N20" s="29"/>
      <c r="O20" s="29"/>
      <c r="P20" s="29"/>
      <c r="Q20" s="29"/>
      <c r="R20" s="29"/>
    </row>
    <row r="23" spans="1:18" ht="21" x14ac:dyDescent="0.5">
      <c r="A23" s="31" t="s">
        <v>468</v>
      </c>
      <c r="B23" s="31"/>
      <c r="C23" s="31"/>
      <c r="D23" s="31"/>
      <c r="E23" s="31"/>
      <c r="F23" s="31"/>
    </row>
    <row r="24" spans="1:18" x14ac:dyDescent="0.35">
      <c r="A24" s="29" t="s">
        <v>472</v>
      </c>
      <c r="B24" s="29"/>
      <c r="C24" s="29"/>
      <c r="D24" s="29"/>
      <c r="E24" s="29"/>
      <c r="F24" s="29"/>
      <c r="G24" s="29"/>
      <c r="H24" s="29"/>
      <c r="I24" s="29"/>
      <c r="J24" s="29"/>
      <c r="K24" s="29"/>
      <c r="L24" s="29"/>
      <c r="M24" s="29"/>
      <c r="N24" s="29"/>
      <c r="O24" s="29"/>
      <c r="P24" s="29"/>
      <c r="Q24" s="29"/>
      <c r="R24" s="29"/>
    </row>
    <row r="25" spans="1:18" x14ac:dyDescent="0.35">
      <c r="A25" s="29"/>
      <c r="B25" s="29"/>
      <c r="C25" s="29"/>
      <c r="D25" s="29"/>
      <c r="E25" s="29"/>
      <c r="F25" s="29"/>
      <c r="G25" s="29"/>
      <c r="H25" s="29"/>
      <c r="I25" s="29"/>
      <c r="J25" s="29"/>
      <c r="K25" s="29"/>
      <c r="L25" s="29"/>
      <c r="M25" s="29"/>
      <c r="N25" s="29"/>
      <c r="O25" s="29"/>
      <c r="P25" s="29"/>
      <c r="Q25" s="29"/>
      <c r="R25" s="29"/>
    </row>
    <row r="26" spans="1:18" x14ac:dyDescent="0.35">
      <c r="A26" s="29"/>
      <c r="B26" s="29"/>
      <c r="C26" s="29"/>
      <c r="D26" s="29"/>
      <c r="E26" s="29"/>
      <c r="F26" s="29"/>
      <c r="G26" s="29"/>
      <c r="H26" s="29"/>
      <c r="I26" s="29"/>
      <c r="J26" s="29"/>
      <c r="K26" s="29"/>
      <c r="L26" s="29"/>
      <c r="M26" s="29"/>
      <c r="N26" s="29"/>
      <c r="O26" s="29"/>
      <c r="P26" s="29"/>
      <c r="Q26" s="29"/>
      <c r="R26" s="29"/>
    </row>
    <row r="27" spans="1:18" x14ac:dyDescent="0.35">
      <c r="A27" s="29"/>
      <c r="B27" s="29"/>
      <c r="C27" s="29"/>
      <c r="D27" s="29"/>
      <c r="E27" s="29"/>
      <c r="F27" s="29"/>
      <c r="G27" s="29"/>
      <c r="H27" s="29"/>
      <c r="I27" s="29"/>
      <c r="J27" s="29"/>
      <c r="K27" s="29"/>
      <c r="L27" s="29"/>
      <c r="M27" s="29"/>
      <c r="N27" s="29"/>
      <c r="O27" s="29"/>
      <c r="P27" s="29"/>
      <c r="Q27" s="29"/>
      <c r="R27" s="29"/>
    </row>
    <row r="28" spans="1:18" x14ac:dyDescent="0.35">
      <c r="A28" s="29"/>
      <c r="B28" s="29"/>
      <c r="C28" s="29"/>
      <c r="D28" s="29"/>
      <c r="E28" s="29"/>
      <c r="F28" s="29"/>
      <c r="G28" s="29"/>
      <c r="H28" s="29"/>
      <c r="I28" s="29"/>
      <c r="J28" s="29"/>
      <c r="K28" s="29"/>
      <c r="L28" s="29"/>
      <c r="M28" s="29"/>
      <c r="N28" s="29"/>
      <c r="O28" s="29"/>
      <c r="P28" s="29"/>
      <c r="Q28" s="29"/>
      <c r="R28" s="29"/>
    </row>
    <row r="29" spans="1:18" x14ac:dyDescent="0.35">
      <c r="A29" s="29"/>
      <c r="B29" s="29"/>
      <c r="C29" s="29"/>
      <c r="D29" s="29"/>
      <c r="E29" s="29"/>
      <c r="F29" s="29"/>
      <c r="G29" s="29"/>
      <c r="H29" s="29"/>
      <c r="I29" s="29"/>
      <c r="J29" s="29"/>
      <c r="K29" s="29"/>
      <c r="L29" s="29"/>
      <c r="M29" s="29"/>
      <c r="N29" s="29"/>
      <c r="O29" s="29"/>
      <c r="P29" s="29"/>
      <c r="Q29" s="29"/>
      <c r="R29" s="29"/>
    </row>
    <row r="30" spans="1:18" x14ac:dyDescent="0.35">
      <c r="A30" s="29"/>
      <c r="B30" s="29"/>
      <c r="C30" s="29"/>
      <c r="D30" s="29"/>
      <c r="E30" s="29"/>
      <c r="F30" s="29"/>
      <c r="G30" s="29"/>
      <c r="H30" s="29"/>
      <c r="I30" s="29"/>
      <c r="J30" s="29"/>
      <c r="K30" s="29"/>
      <c r="L30" s="29"/>
      <c r="M30" s="29"/>
      <c r="N30" s="29"/>
      <c r="O30" s="29"/>
      <c r="P30" s="29"/>
      <c r="Q30" s="29"/>
      <c r="R30" s="29"/>
    </row>
    <row r="31" spans="1:18" x14ac:dyDescent="0.35">
      <c r="A31" s="29"/>
      <c r="B31" s="29"/>
      <c r="C31" s="29"/>
      <c r="D31" s="29"/>
      <c r="E31" s="29"/>
      <c r="F31" s="29"/>
      <c r="G31" s="29"/>
      <c r="H31" s="29"/>
      <c r="I31" s="29"/>
      <c r="J31" s="29"/>
      <c r="K31" s="29"/>
      <c r="L31" s="29"/>
      <c r="M31" s="29"/>
      <c r="N31" s="29"/>
      <c r="O31" s="29"/>
      <c r="P31" s="29"/>
      <c r="Q31" s="29"/>
      <c r="R31" s="29"/>
    </row>
    <row r="32" spans="1:18" x14ac:dyDescent="0.35">
      <c r="A32" s="29"/>
      <c r="B32" s="29"/>
      <c r="C32" s="29"/>
      <c r="D32" s="29"/>
      <c r="E32" s="29"/>
      <c r="F32" s="29"/>
      <c r="G32" s="29"/>
      <c r="H32" s="29"/>
      <c r="I32" s="29"/>
      <c r="J32" s="29"/>
      <c r="K32" s="29"/>
      <c r="L32" s="29"/>
      <c r="M32" s="29"/>
      <c r="N32" s="29"/>
      <c r="O32" s="29"/>
      <c r="P32" s="29"/>
      <c r="Q32" s="29"/>
      <c r="R32" s="29"/>
    </row>
    <row r="33" spans="1:18" x14ac:dyDescent="0.35">
      <c r="A33" s="29"/>
      <c r="B33" s="29"/>
      <c r="C33" s="29"/>
      <c r="D33" s="29"/>
      <c r="E33" s="29"/>
      <c r="F33" s="29"/>
      <c r="G33" s="29"/>
      <c r="H33" s="29"/>
      <c r="I33" s="29"/>
      <c r="J33" s="29"/>
      <c r="K33" s="29"/>
      <c r="L33" s="29"/>
      <c r="M33" s="29"/>
      <c r="N33" s="29"/>
      <c r="O33" s="29"/>
      <c r="P33" s="29"/>
      <c r="Q33" s="29"/>
      <c r="R33" s="29"/>
    </row>
    <row r="35" spans="1:18" ht="21" x14ac:dyDescent="0.5">
      <c r="A35" s="31" t="s">
        <v>469</v>
      </c>
      <c r="B35" s="31"/>
      <c r="C35" s="31"/>
      <c r="D35" s="31"/>
    </row>
    <row r="36" spans="1:18" x14ac:dyDescent="0.35">
      <c r="A36" s="29" t="s">
        <v>473</v>
      </c>
      <c r="B36" s="28"/>
      <c r="C36" s="28"/>
      <c r="D36" s="28"/>
      <c r="E36" s="28"/>
      <c r="F36" s="28"/>
      <c r="G36" s="28"/>
      <c r="H36" s="28"/>
      <c r="I36" s="28"/>
      <c r="J36" s="28"/>
      <c r="K36" s="28"/>
      <c r="L36" s="28"/>
      <c r="M36" s="28"/>
      <c r="N36" s="28"/>
      <c r="O36" s="28"/>
      <c r="P36" s="28"/>
      <c r="Q36" s="28"/>
      <c r="R36" s="28"/>
    </row>
    <row r="37" spans="1:18" x14ac:dyDescent="0.35">
      <c r="A37" s="28"/>
      <c r="B37" s="28"/>
      <c r="C37" s="28"/>
      <c r="D37" s="28"/>
      <c r="E37" s="28"/>
      <c r="F37" s="28"/>
      <c r="G37" s="28"/>
      <c r="H37" s="28"/>
      <c r="I37" s="28"/>
      <c r="J37" s="28"/>
      <c r="K37" s="28"/>
      <c r="L37" s="28"/>
      <c r="M37" s="28"/>
      <c r="N37" s="28"/>
      <c r="O37" s="28"/>
      <c r="P37" s="28"/>
      <c r="Q37" s="28"/>
      <c r="R37" s="28"/>
    </row>
    <row r="38" spans="1:18" x14ac:dyDescent="0.35">
      <c r="A38" s="28"/>
      <c r="B38" s="28"/>
      <c r="C38" s="28"/>
      <c r="D38" s="28"/>
      <c r="E38" s="28"/>
      <c r="F38" s="28"/>
      <c r="G38" s="28"/>
      <c r="H38" s="28"/>
      <c r="I38" s="28"/>
      <c r="J38" s="28"/>
      <c r="K38" s="28"/>
      <c r="L38" s="28"/>
      <c r="M38" s="28"/>
      <c r="N38" s="28"/>
      <c r="O38" s="28"/>
      <c r="P38" s="28"/>
      <c r="Q38" s="28"/>
      <c r="R38" s="28"/>
    </row>
    <row r="39" spans="1:18" x14ac:dyDescent="0.35">
      <c r="A39" s="28"/>
      <c r="B39" s="28"/>
      <c r="C39" s="28"/>
      <c r="D39" s="28"/>
      <c r="E39" s="28"/>
      <c r="F39" s="28"/>
      <c r="G39" s="28"/>
      <c r="H39" s="28"/>
      <c r="I39" s="28"/>
      <c r="J39" s="28"/>
      <c r="K39" s="28"/>
      <c r="L39" s="28"/>
      <c r="M39" s="28"/>
      <c r="N39" s="28"/>
      <c r="O39" s="28"/>
      <c r="P39" s="28"/>
      <c r="Q39" s="28"/>
      <c r="R39" s="28"/>
    </row>
    <row r="40" spans="1:18" x14ac:dyDescent="0.35">
      <c r="A40" s="28"/>
      <c r="B40" s="28"/>
      <c r="C40" s="28"/>
      <c r="D40" s="28"/>
      <c r="E40" s="28"/>
      <c r="F40" s="28"/>
      <c r="G40" s="28"/>
      <c r="H40" s="28"/>
      <c r="I40" s="28"/>
      <c r="J40" s="28"/>
      <c r="K40" s="28"/>
      <c r="L40" s="28"/>
      <c r="M40" s="28"/>
      <c r="N40" s="28"/>
      <c r="O40" s="28"/>
      <c r="P40" s="28"/>
      <c r="Q40" s="28"/>
      <c r="R40" s="28"/>
    </row>
    <row r="41" spans="1:18" x14ac:dyDescent="0.35">
      <c r="A41" s="28"/>
      <c r="B41" s="28"/>
      <c r="C41" s="28"/>
      <c r="D41" s="28"/>
      <c r="E41" s="28"/>
      <c r="F41" s="28"/>
      <c r="G41" s="28"/>
      <c r="H41" s="28"/>
      <c r="I41" s="28"/>
      <c r="J41" s="28"/>
      <c r="K41" s="28"/>
      <c r="L41" s="28"/>
      <c r="M41" s="28"/>
      <c r="N41" s="28"/>
      <c r="O41" s="28"/>
      <c r="P41" s="28"/>
      <c r="Q41" s="28"/>
      <c r="R41" s="28"/>
    </row>
    <row r="42" spans="1:18" x14ac:dyDescent="0.35">
      <c r="A42" s="28"/>
      <c r="B42" s="28"/>
      <c r="C42" s="28"/>
      <c r="D42" s="28"/>
      <c r="E42" s="28"/>
      <c r="F42" s="28"/>
      <c r="G42" s="28"/>
      <c r="H42" s="28"/>
      <c r="I42" s="28"/>
      <c r="J42" s="28"/>
      <c r="K42" s="28"/>
      <c r="L42" s="28"/>
      <c r="M42" s="28"/>
      <c r="N42" s="28"/>
      <c r="O42" s="28"/>
      <c r="P42" s="28"/>
      <c r="Q42" s="28"/>
      <c r="R42" s="28"/>
    </row>
  </sheetData>
  <mergeCells count="9">
    <mergeCell ref="A24:R33"/>
    <mergeCell ref="A36:R42"/>
    <mergeCell ref="A1:R1"/>
    <mergeCell ref="A3:C3"/>
    <mergeCell ref="A8:C8"/>
    <mergeCell ref="A23:F23"/>
    <mergeCell ref="A35:D35"/>
    <mergeCell ref="A4:R6"/>
    <mergeCell ref="A9:R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E359-CE67-4D63-83B0-2E8CDF418D60}">
  <dimension ref="A1:I158"/>
  <sheetViews>
    <sheetView workbookViewId="0">
      <selection activeCell="F8" sqref="F8"/>
    </sheetView>
  </sheetViews>
  <sheetFormatPr defaultRowHeight="14.5" x14ac:dyDescent="0.35"/>
  <cols>
    <col min="1" max="1" width="12.81640625" customWidth="1"/>
    <col min="3" max="3" width="16.7265625" customWidth="1"/>
    <col min="4" max="4" width="18.26953125" customWidth="1"/>
    <col min="5" max="5" width="28.26953125" bestFit="1" customWidth="1"/>
    <col min="6" max="6" width="31.26953125" style="9" customWidth="1"/>
    <col min="7" max="7" width="10.81640625" style="9" customWidth="1"/>
    <col min="8" max="8" width="16.54296875" customWidth="1"/>
    <col min="9" max="9" width="12.1796875" customWidth="1"/>
  </cols>
  <sheetData>
    <row r="1" spans="1:9" x14ac:dyDescent="0.35">
      <c r="A1" t="s">
        <v>52</v>
      </c>
      <c r="B1" t="s">
        <v>53</v>
      </c>
      <c r="C1" t="s">
        <v>54</v>
      </c>
      <c r="D1" t="s">
        <v>7</v>
      </c>
      <c r="E1" t="s">
        <v>58</v>
      </c>
      <c r="F1" s="9" t="s">
        <v>415</v>
      </c>
      <c r="G1" s="9" t="s">
        <v>416</v>
      </c>
      <c r="H1" t="s">
        <v>417</v>
      </c>
      <c r="I1" t="s">
        <v>418</v>
      </c>
    </row>
    <row r="2" spans="1:9" x14ac:dyDescent="0.35">
      <c r="A2" t="s">
        <v>123</v>
      </c>
      <c r="B2" t="s">
        <v>122</v>
      </c>
      <c r="C2" t="s">
        <v>63</v>
      </c>
      <c r="D2" t="s">
        <v>64</v>
      </c>
      <c r="E2" s="10">
        <v>49795</v>
      </c>
      <c r="F2" s="9">
        <f>_xlfn.XLOOKUP(tblSelection[[#This Row],[Firm Name]],tblContext[Firm Name],tblContext[Insurance &amp; pure protection],"Not found",0)</f>
        <v>2.72</v>
      </c>
      <c r="G2" s="9" t="str">
        <f>IF(AND(tblSelection[[#This Row],[Reporting period]]="2025-07-01 to 2025-12-31", tblSelection[[#This Row],[Joint Reporting]]="no", ISNUMBER(tblSelection[[#This Row],[Context A Complaints per 1,000]]),tblSelection[[#This Row],[Insurance &amp; pure protection]]&gt;0), "Yes", "No")</f>
        <v>Yes</v>
      </c>
      <c r="H2">
        <f>IF(tblSelection[[#This Row],[Eligible?]]="Yes",1+COUNTIFS(tblSelection[Eligible?],"Yes",tblSelection[Insurance &amp; pure protection],"&gt;"&amp;tblSelection[[#This Row],[Insurance &amp; pure protection]]),"")</f>
        <v>1</v>
      </c>
      <c r="I2" t="s">
        <v>419</v>
      </c>
    </row>
    <row r="3" spans="1:9" x14ac:dyDescent="0.35">
      <c r="A3" t="s">
        <v>382</v>
      </c>
      <c r="B3" t="s">
        <v>383</v>
      </c>
      <c r="C3" t="s">
        <v>63</v>
      </c>
      <c r="D3" t="s">
        <v>64</v>
      </c>
      <c r="E3" s="10">
        <v>37282</v>
      </c>
      <c r="F3" s="9">
        <f>_xlfn.XLOOKUP(tblSelection[[#This Row],[Firm Name]],tblContext[Firm Name],tblContext[Insurance &amp; pure protection],"Not found",0)</f>
        <v>4.54</v>
      </c>
      <c r="G3" s="9" t="str">
        <f>IF(AND(tblSelection[[#This Row],[Reporting period]]="2025-07-01 to 2025-12-31", tblSelection[[#This Row],[Joint Reporting]]="no", ISNUMBER(tblSelection[[#This Row],[Context A Complaints per 1,000]]),tblSelection[[#This Row],[Insurance &amp; pure protection]]&gt;0), "Yes", "No")</f>
        <v>Yes</v>
      </c>
      <c r="H3">
        <f>IF(tblSelection[[#This Row],[Eligible?]]="Yes",1+COUNTIFS(tblSelection[Eligible?],"Yes",tblSelection[Insurance &amp; pure protection],"&gt;"&amp;tblSelection[[#This Row],[Insurance &amp; pure protection]]),"")</f>
        <v>2</v>
      </c>
      <c r="I3" t="s">
        <v>419</v>
      </c>
    </row>
    <row r="4" spans="1:9" x14ac:dyDescent="0.35">
      <c r="A4" t="s">
        <v>131</v>
      </c>
      <c r="B4" t="s">
        <v>129</v>
      </c>
      <c r="C4" t="s">
        <v>63</v>
      </c>
      <c r="D4" t="s">
        <v>64</v>
      </c>
      <c r="E4" s="10">
        <v>19555</v>
      </c>
      <c r="F4" s="9">
        <f>_xlfn.XLOOKUP(tblSelection[[#This Row],[Firm Name]],tblContext[Firm Name],tblContext[Insurance &amp; pure protection],"Not found",0)</f>
        <v>12.25</v>
      </c>
      <c r="G4" s="9" t="str">
        <f>IF(AND(tblSelection[[#This Row],[Reporting period]]="2025-07-01 to 2025-12-31", tblSelection[[#This Row],[Joint Reporting]]="no", ISNUMBER(tblSelection[[#This Row],[Context A Complaints per 1,000]]),tblSelection[[#This Row],[Insurance &amp; pure protection]]&gt;0), "Yes", "No")</f>
        <v>Yes</v>
      </c>
      <c r="H4">
        <f>IF(tblSelection[[#This Row],[Eligible?]]="Yes",1+COUNTIFS(tblSelection[Eligible?],"Yes",tblSelection[Insurance &amp; pure protection],"&gt;"&amp;tblSelection[[#This Row],[Insurance &amp; pure protection]]),"")</f>
        <v>3</v>
      </c>
      <c r="I4" t="s">
        <v>419</v>
      </c>
    </row>
    <row r="5" spans="1:9" x14ac:dyDescent="0.35">
      <c r="A5" t="s">
        <v>130</v>
      </c>
      <c r="B5" t="s">
        <v>129</v>
      </c>
      <c r="C5" t="s">
        <v>63</v>
      </c>
      <c r="D5" t="s">
        <v>64</v>
      </c>
      <c r="E5" s="10">
        <v>16052</v>
      </c>
      <c r="F5" s="9">
        <f>_xlfn.XLOOKUP(tblSelection[[#This Row],[Firm Name]],tblContext[Firm Name],tblContext[Insurance &amp; pure protection],"Not found",0)</f>
        <v>4.7699999999999996</v>
      </c>
      <c r="G5" s="9" t="str">
        <f>IF(AND(tblSelection[[#This Row],[Reporting period]]="2025-07-01 to 2025-12-31", tblSelection[[#This Row],[Joint Reporting]]="no", ISNUMBER(tblSelection[[#This Row],[Context A Complaints per 1,000]]),tblSelection[[#This Row],[Insurance &amp; pure protection]]&gt;0), "Yes", "No")</f>
        <v>Yes</v>
      </c>
      <c r="H5">
        <f>IF(tblSelection[[#This Row],[Eligible?]]="Yes",1+COUNTIFS(tblSelection[Eligible?],"Yes",tblSelection[Insurance &amp; pure protection],"&gt;"&amp;tblSelection[[#This Row],[Insurance &amp; pure protection]]),"")</f>
        <v>4</v>
      </c>
      <c r="I5" t="s">
        <v>419</v>
      </c>
    </row>
    <row r="6" spans="1:9" x14ac:dyDescent="0.35">
      <c r="A6" t="s">
        <v>273</v>
      </c>
      <c r="B6" t="s">
        <v>93</v>
      </c>
      <c r="C6" t="s">
        <v>63</v>
      </c>
      <c r="D6" t="s">
        <v>64</v>
      </c>
      <c r="E6" s="10">
        <v>12025</v>
      </c>
      <c r="F6" s="9">
        <f>_xlfn.XLOOKUP(tblSelection[[#This Row],[Firm Name]],tblContext[Firm Name],tblContext[Insurance &amp; pure protection],"Not found",0)</f>
        <v>2.87</v>
      </c>
      <c r="G6" s="9" t="str">
        <f>IF(AND(tblSelection[[#This Row],[Reporting period]]="2025-07-01 to 2025-12-31", tblSelection[[#This Row],[Joint Reporting]]="no", ISNUMBER(tblSelection[[#This Row],[Context A Complaints per 1,000]]),tblSelection[[#This Row],[Insurance &amp; pure protection]]&gt;0), "Yes", "No")</f>
        <v>Yes</v>
      </c>
      <c r="H6">
        <f>IF(tblSelection[[#This Row],[Eligible?]]="Yes",1+COUNTIFS(tblSelection[Eligible?],"Yes",tblSelection[Insurance &amp; pure protection],"&gt;"&amp;tblSelection[[#This Row],[Insurance &amp; pure protection]]),"")</f>
        <v>5</v>
      </c>
      <c r="I6" t="s">
        <v>419</v>
      </c>
    </row>
    <row r="7" spans="1:9" x14ac:dyDescent="0.35">
      <c r="A7" t="s">
        <v>139</v>
      </c>
      <c r="B7" t="s">
        <v>68</v>
      </c>
      <c r="C7" t="s">
        <v>63</v>
      </c>
      <c r="D7" t="s">
        <v>64</v>
      </c>
      <c r="E7" s="10">
        <v>11577</v>
      </c>
      <c r="F7" s="9">
        <f>_xlfn.XLOOKUP(tblSelection[[#This Row],[Firm Name]],tblContext[Firm Name],tblContext[Insurance &amp; pure protection],"Not found",0)</f>
        <v>5.23</v>
      </c>
      <c r="G7" s="9" t="str">
        <f>IF(AND(tblSelection[[#This Row],[Reporting period]]="2025-07-01 to 2025-12-31", tblSelection[[#This Row],[Joint Reporting]]="no", ISNUMBER(tblSelection[[#This Row],[Context A Complaints per 1,000]]),tblSelection[[#This Row],[Insurance &amp; pure protection]]&gt;0), "Yes", "No")</f>
        <v>Yes</v>
      </c>
      <c r="H7">
        <f>IF(tblSelection[[#This Row],[Eligible?]]="Yes",1+COUNTIFS(tblSelection[Eligible?],"Yes",tblSelection[Insurance &amp; pure protection],"&gt;"&amp;tblSelection[[#This Row],[Insurance &amp; pure protection]]),"")</f>
        <v>6</v>
      </c>
      <c r="I7" t="s">
        <v>419</v>
      </c>
    </row>
    <row r="8" spans="1:9" x14ac:dyDescent="0.35">
      <c r="A8" t="s">
        <v>200</v>
      </c>
      <c r="B8" t="s">
        <v>201</v>
      </c>
      <c r="C8" t="s">
        <v>63</v>
      </c>
      <c r="D8" t="s">
        <v>64</v>
      </c>
      <c r="E8" s="10">
        <v>11352</v>
      </c>
      <c r="F8" s="9">
        <f>_xlfn.XLOOKUP(tblSelection[[#This Row],[Firm Name]],tblContext[Firm Name],tblContext[Insurance &amp; pure protection],"Not found",0)</f>
        <v>2.62</v>
      </c>
      <c r="G8" s="9" t="str">
        <f>IF(AND(tblSelection[[#This Row],[Reporting period]]="2025-07-01 to 2025-12-31", tblSelection[[#This Row],[Joint Reporting]]="no", ISNUMBER(tblSelection[[#This Row],[Context A Complaints per 1,000]]),tblSelection[[#This Row],[Insurance &amp; pure protection]]&gt;0), "Yes", "No")</f>
        <v>Yes</v>
      </c>
      <c r="H8">
        <f>IF(tblSelection[[#This Row],[Eligible?]]="Yes",1+COUNTIFS(tblSelection[Eligible?],"Yes",tblSelection[Insurance &amp; pure protection],"&gt;"&amp;tblSelection[[#This Row],[Insurance &amp; pure protection]]),"")</f>
        <v>7</v>
      </c>
      <c r="I8" t="s">
        <v>419</v>
      </c>
    </row>
    <row r="9" spans="1:9" x14ac:dyDescent="0.35">
      <c r="A9" t="s">
        <v>218</v>
      </c>
      <c r="B9" t="s">
        <v>219</v>
      </c>
      <c r="C9" t="s">
        <v>63</v>
      </c>
      <c r="D9" t="s">
        <v>64</v>
      </c>
      <c r="E9" s="10">
        <v>8797</v>
      </c>
      <c r="F9" s="9">
        <f>_xlfn.XLOOKUP(tblSelection[[#This Row],[Firm Name]],tblContext[Firm Name],tblContext[Insurance &amp; pure protection],"Not found",0)</f>
        <v>6.26</v>
      </c>
      <c r="G9" s="9" t="str">
        <f>IF(AND(tblSelection[[#This Row],[Reporting period]]="2025-07-01 to 2025-12-31", tblSelection[[#This Row],[Joint Reporting]]="no", ISNUMBER(tblSelection[[#This Row],[Context A Complaints per 1,000]]),tblSelection[[#This Row],[Insurance &amp; pure protection]]&gt;0), "Yes", "No")</f>
        <v>Yes</v>
      </c>
      <c r="H9">
        <f>IF(tblSelection[[#This Row],[Eligible?]]="Yes",1+COUNTIFS(tblSelection[Eligible?],"Yes",tblSelection[Insurance &amp; pure protection],"&gt;"&amp;tblSelection[[#This Row],[Insurance &amp; pure protection]]),"")</f>
        <v>8</v>
      </c>
      <c r="I9" t="s">
        <v>419</v>
      </c>
    </row>
    <row r="10" spans="1:9" x14ac:dyDescent="0.35">
      <c r="A10" t="s">
        <v>116</v>
      </c>
      <c r="B10" t="s">
        <v>68</v>
      </c>
      <c r="C10" t="s">
        <v>63</v>
      </c>
      <c r="D10" t="s">
        <v>64</v>
      </c>
      <c r="E10" s="10">
        <v>8517</v>
      </c>
      <c r="F10" s="9">
        <f>_xlfn.XLOOKUP(tblSelection[[#This Row],[Firm Name]],tblContext[Firm Name],tblContext[Insurance &amp; pure protection],"Not found",0)</f>
        <v>4.22</v>
      </c>
      <c r="G10" s="9" t="str">
        <f>IF(AND(tblSelection[[#This Row],[Reporting period]]="2025-07-01 to 2025-12-31", tblSelection[[#This Row],[Joint Reporting]]="no", ISNUMBER(tblSelection[[#This Row],[Context A Complaints per 1,000]]),tblSelection[[#This Row],[Insurance &amp; pure protection]]&gt;0), "Yes", "No")</f>
        <v>Yes</v>
      </c>
      <c r="H10">
        <f>IF(tblSelection[[#This Row],[Eligible?]]="Yes",1+COUNTIFS(tblSelection[Eligible?],"Yes",tblSelection[Insurance &amp; pure protection],"&gt;"&amp;tblSelection[[#This Row],[Insurance &amp; pure protection]]),"")</f>
        <v>9</v>
      </c>
      <c r="I10" t="s">
        <v>419</v>
      </c>
    </row>
    <row r="11" spans="1:9" x14ac:dyDescent="0.35">
      <c r="A11" t="s">
        <v>251</v>
      </c>
      <c r="B11" t="s">
        <v>129</v>
      </c>
      <c r="C11" t="s">
        <v>63</v>
      </c>
      <c r="D11" t="s">
        <v>64</v>
      </c>
      <c r="E11" s="10">
        <v>8125</v>
      </c>
      <c r="F11" s="9">
        <f>_xlfn.XLOOKUP(tblSelection[[#This Row],[Firm Name]],tblContext[Firm Name],tblContext[Insurance &amp; pure protection],"Not found",0)</f>
        <v>1.45</v>
      </c>
      <c r="G11" s="9" t="str">
        <f>IF(AND(tblSelection[[#This Row],[Reporting period]]="2025-07-01 to 2025-12-31", tblSelection[[#This Row],[Joint Reporting]]="no", ISNUMBER(tblSelection[[#This Row],[Context A Complaints per 1,000]]),tblSelection[[#This Row],[Insurance &amp; pure protection]]&gt;0), "Yes", "No")</f>
        <v>Yes</v>
      </c>
      <c r="H11">
        <f>IF(tblSelection[[#This Row],[Eligible?]]="Yes",1+COUNTIFS(tblSelection[Eligible?],"Yes",tblSelection[Insurance &amp; pure protection],"&gt;"&amp;tblSelection[[#This Row],[Insurance &amp; pure protection]]),"")</f>
        <v>10</v>
      </c>
      <c r="I11" t="s">
        <v>419</v>
      </c>
    </row>
    <row r="12" spans="1:9" x14ac:dyDescent="0.35">
      <c r="A12" t="s">
        <v>110</v>
      </c>
      <c r="B12" t="s">
        <v>111</v>
      </c>
      <c r="C12" t="s">
        <v>63</v>
      </c>
      <c r="D12" t="s">
        <v>64</v>
      </c>
      <c r="E12" s="10">
        <v>6731</v>
      </c>
      <c r="F12" s="9">
        <f>_xlfn.XLOOKUP(tblSelection[[#This Row],[Firm Name]],tblContext[Firm Name],tblContext[Insurance &amp; pure protection],"Not found",0)</f>
        <v>1.18</v>
      </c>
      <c r="G12" s="9" t="str">
        <f>IF(AND(tblSelection[[#This Row],[Reporting period]]="2025-07-01 to 2025-12-31", tblSelection[[#This Row],[Joint Reporting]]="no", ISNUMBER(tblSelection[[#This Row],[Context A Complaints per 1,000]]),tblSelection[[#This Row],[Insurance &amp; pure protection]]&gt;0), "Yes", "No")</f>
        <v>Yes</v>
      </c>
      <c r="H12">
        <f>IF(tblSelection[[#This Row],[Eligible?]]="Yes",1+COUNTIFS(tblSelection[Eligible?],"Yes",tblSelection[Insurance &amp; pure protection],"&gt;"&amp;tblSelection[[#This Row],[Insurance &amp; pure protection]]),"")</f>
        <v>11</v>
      </c>
      <c r="I12" t="s">
        <v>419</v>
      </c>
    </row>
    <row r="13" spans="1:9" x14ac:dyDescent="0.35">
      <c r="A13" t="s">
        <v>249</v>
      </c>
      <c r="B13" t="s">
        <v>250</v>
      </c>
      <c r="C13" t="s">
        <v>63</v>
      </c>
      <c r="D13" t="s">
        <v>64</v>
      </c>
      <c r="E13" s="10">
        <v>5765</v>
      </c>
      <c r="F13" s="9">
        <f>_xlfn.XLOOKUP(tblSelection[[#This Row],[Firm Name]],tblContext[Firm Name],tblContext[Insurance &amp; pure protection],"Not found",0)</f>
        <v>2.0099999999999998</v>
      </c>
      <c r="G13" s="9" t="str">
        <f>IF(AND(tblSelection[[#This Row],[Reporting period]]="2025-07-01 to 2025-12-31", tblSelection[[#This Row],[Joint Reporting]]="no", ISNUMBER(tblSelection[[#This Row],[Context A Complaints per 1,000]]),tblSelection[[#This Row],[Insurance &amp; pure protection]]&gt;0), "Yes", "No")</f>
        <v>Yes</v>
      </c>
      <c r="H13">
        <f>IF(tblSelection[[#This Row],[Eligible?]]="Yes",1+COUNTIFS(tblSelection[Eligible?],"Yes",tblSelection[Insurance &amp; pure protection],"&gt;"&amp;tblSelection[[#This Row],[Insurance &amp; pure protection]]),"")</f>
        <v>12</v>
      </c>
      <c r="I13" t="s">
        <v>419</v>
      </c>
    </row>
    <row r="14" spans="1:9" x14ac:dyDescent="0.35">
      <c r="A14" t="s">
        <v>274</v>
      </c>
      <c r="B14" t="s">
        <v>135</v>
      </c>
      <c r="C14" t="s">
        <v>63</v>
      </c>
      <c r="D14" t="s">
        <v>64</v>
      </c>
      <c r="E14" s="10">
        <v>5683</v>
      </c>
      <c r="F14" s="9">
        <f>_xlfn.XLOOKUP(tblSelection[[#This Row],[Firm Name]],tblContext[Firm Name],tblContext[Insurance &amp; pure protection],"Not found",0)</f>
        <v>2.17</v>
      </c>
      <c r="G14" s="9" t="str">
        <f>IF(AND(tblSelection[[#This Row],[Reporting period]]="2025-07-01 to 2025-12-31", tblSelection[[#This Row],[Joint Reporting]]="no", ISNUMBER(tblSelection[[#This Row],[Context A Complaints per 1,000]]),tblSelection[[#This Row],[Insurance &amp; pure protection]]&gt;0), "Yes", "No")</f>
        <v>Yes</v>
      </c>
      <c r="H14">
        <f>IF(tblSelection[[#This Row],[Eligible?]]="Yes",1+COUNTIFS(tblSelection[Eligible?],"Yes",tblSelection[Insurance &amp; pure protection],"&gt;"&amp;tblSelection[[#This Row],[Insurance &amp; pure protection]]),"")</f>
        <v>13</v>
      </c>
      <c r="I14" t="s">
        <v>419</v>
      </c>
    </row>
    <row r="15" spans="1:9" x14ac:dyDescent="0.35">
      <c r="A15" t="s">
        <v>350</v>
      </c>
      <c r="B15" t="s">
        <v>351</v>
      </c>
      <c r="C15" t="s">
        <v>63</v>
      </c>
      <c r="D15" t="s">
        <v>64</v>
      </c>
      <c r="E15" s="10">
        <v>5669</v>
      </c>
      <c r="F15" s="9">
        <f>_xlfn.XLOOKUP(tblSelection[[#This Row],[Firm Name]],tblContext[Firm Name],tblContext[Insurance &amp; pure protection],"Not found",0)</f>
        <v>0.65</v>
      </c>
      <c r="G15" s="9" t="str">
        <f>IF(AND(tblSelection[[#This Row],[Reporting period]]="2025-07-01 to 2025-12-31", tblSelection[[#This Row],[Joint Reporting]]="no", ISNUMBER(tblSelection[[#This Row],[Context A Complaints per 1,000]]),tblSelection[[#This Row],[Insurance &amp; pure protection]]&gt;0), "Yes", "No")</f>
        <v>Yes</v>
      </c>
      <c r="H15">
        <f>IF(tblSelection[[#This Row],[Eligible?]]="Yes",1+COUNTIFS(tblSelection[Eligible?],"Yes",tblSelection[Insurance &amp; pure protection],"&gt;"&amp;tblSelection[[#This Row],[Insurance &amp; pure protection]]),"")</f>
        <v>14</v>
      </c>
      <c r="I15" t="s">
        <v>419</v>
      </c>
    </row>
    <row r="16" spans="1:9" x14ac:dyDescent="0.35">
      <c r="A16" t="s">
        <v>291</v>
      </c>
      <c r="B16" t="s">
        <v>199</v>
      </c>
      <c r="C16" t="s">
        <v>63</v>
      </c>
      <c r="D16" t="s">
        <v>64</v>
      </c>
      <c r="E16" s="10">
        <v>5012</v>
      </c>
      <c r="F16" s="9">
        <f>_xlfn.XLOOKUP(tblSelection[[#This Row],[Firm Name]],tblContext[Firm Name],tblContext[Insurance &amp; pure protection],"Not found",0)</f>
        <v>53.54</v>
      </c>
      <c r="G16" s="9" t="str">
        <f>IF(AND(tblSelection[[#This Row],[Reporting period]]="2025-07-01 to 2025-12-31", tblSelection[[#This Row],[Joint Reporting]]="no", ISNUMBER(tblSelection[[#This Row],[Context A Complaints per 1,000]]),tblSelection[[#This Row],[Insurance &amp; pure protection]]&gt;0), "Yes", "No")</f>
        <v>Yes</v>
      </c>
      <c r="H16">
        <f>IF(tblSelection[[#This Row],[Eligible?]]="Yes",1+COUNTIFS(tblSelection[Eligible?],"Yes",tblSelection[Insurance &amp; pure protection],"&gt;"&amp;tblSelection[[#This Row],[Insurance &amp; pure protection]]),"")</f>
        <v>15</v>
      </c>
      <c r="I16" t="s">
        <v>419</v>
      </c>
    </row>
    <row r="17" spans="1:9" x14ac:dyDescent="0.35">
      <c r="A17" t="s">
        <v>198</v>
      </c>
      <c r="B17" t="s">
        <v>199</v>
      </c>
      <c r="C17" t="s">
        <v>63</v>
      </c>
      <c r="D17" t="s">
        <v>64</v>
      </c>
      <c r="E17" s="10">
        <v>4524</v>
      </c>
      <c r="F17" s="9">
        <f>_xlfn.XLOOKUP(tblSelection[[#This Row],[Firm Name]],tblContext[Firm Name],tblContext[Insurance &amp; pure protection],"Not found",0)</f>
        <v>4.01</v>
      </c>
      <c r="G17" s="9" t="str">
        <f>IF(AND(tblSelection[[#This Row],[Reporting period]]="2025-07-01 to 2025-12-31", tblSelection[[#This Row],[Joint Reporting]]="no", ISNUMBER(tblSelection[[#This Row],[Context A Complaints per 1,000]]),tblSelection[[#This Row],[Insurance &amp; pure protection]]&gt;0), "Yes", "No")</f>
        <v>Yes</v>
      </c>
      <c r="H17">
        <f>IF(tblSelection[[#This Row],[Eligible?]]="Yes",1+COUNTIFS(tblSelection[Eligible?],"Yes",tblSelection[Insurance &amp; pure protection],"&gt;"&amp;tblSelection[[#This Row],[Insurance &amp; pure protection]]),"")</f>
        <v>16</v>
      </c>
      <c r="I17" t="s">
        <v>420</v>
      </c>
    </row>
    <row r="18" spans="1:9" x14ac:dyDescent="0.35">
      <c r="A18" t="s">
        <v>124</v>
      </c>
      <c r="B18" t="s">
        <v>122</v>
      </c>
      <c r="C18" t="s">
        <v>63</v>
      </c>
      <c r="D18" t="s">
        <v>64</v>
      </c>
      <c r="E18" s="10">
        <v>4523</v>
      </c>
      <c r="F18" s="9">
        <f>_xlfn.XLOOKUP(tblSelection[[#This Row],[Firm Name]],tblContext[Firm Name],tblContext[Insurance &amp; pure protection],"Not found",0)</f>
        <v>1.22</v>
      </c>
      <c r="G18" s="9" t="str">
        <f>IF(AND(tblSelection[[#This Row],[Reporting period]]="2025-07-01 to 2025-12-31", tblSelection[[#This Row],[Joint Reporting]]="no", ISNUMBER(tblSelection[[#This Row],[Context A Complaints per 1,000]]),tblSelection[[#This Row],[Insurance &amp; pure protection]]&gt;0), "Yes", "No")</f>
        <v>Yes</v>
      </c>
      <c r="H18">
        <f>IF(tblSelection[[#This Row],[Eligible?]]="Yes",1+COUNTIFS(tblSelection[Eligible?],"Yes",tblSelection[Insurance &amp; pure protection],"&gt;"&amp;tblSelection[[#This Row],[Insurance &amp; pure protection]]),"")</f>
        <v>17</v>
      </c>
      <c r="I18" t="s">
        <v>420</v>
      </c>
    </row>
    <row r="19" spans="1:9" x14ac:dyDescent="0.35">
      <c r="A19" t="s">
        <v>81</v>
      </c>
      <c r="B19" t="s">
        <v>82</v>
      </c>
      <c r="C19" t="s">
        <v>63</v>
      </c>
      <c r="D19" t="s">
        <v>64</v>
      </c>
      <c r="E19" s="10">
        <v>4403</v>
      </c>
      <c r="F19" s="9">
        <f>_xlfn.XLOOKUP(tblSelection[[#This Row],[Firm Name]],tblContext[Firm Name],tblContext[Insurance &amp; pure protection],"Not found",0)</f>
        <v>1.03</v>
      </c>
      <c r="G19" s="9" t="str">
        <f>IF(AND(tblSelection[[#This Row],[Reporting period]]="2025-07-01 to 2025-12-31", tblSelection[[#This Row],[Joint Reporting]]="no", ISNUMBER(tblSelection[[#This Row],[Context A Complaints per 1,000]]),tblSelection[[#This Row],[Insurance &amp; pure protection]]&gt;0), "Yes", "No")</f>
        <v>Yes</v>
      </c>
      <c r="H19">
        <f>IF(tblSelection[[#This Row],[Eligible?]]="Yes",1+COUNTIFS(tblSelection[Eligible?],"Yes",tblSelection[Insurance &amp; pure protection],"&gt;"&amp;tblSelection[[#This Row],[Insurance &amp; pure protection]]),"")</f>
        <v>18</v>
      </c>
      <c r="I19" t="s">
        <v>420</v>
      </c>
    </row>
    <row r="20" spans="1:9" x14ac:dyDescent="0.35">
      <c r="A20" t="s">
        <v>65</v>
      </c>
      <c r="B20" t="s">
        <v>66</v>
      </c>
      <c r="C20" t="s">
        <v>63</v>
      </c>
      <c r="D20" t="s">
        <v>64</v>
      </c>
      <c r="E20" s="10">
        <v>4337</v>
      </c>
      <c r="F20" s="9">
        <f>_xlfn.XLOOKUP(tblSelection[[#This Row],[Firm Name]],tblContext[Firm Name],tblContext[Insurance &amp; pure protection],"Not found",0)</f>
        <v>1.57</v>
      </c>
      <c r="G20" s="9" t="str">
        <f>IF(AND(tblSelection[[#This Row],[Reporting period]]="2025-07-01 to 2025-12-31", tblSelection[[#This Row],[Joint Reporting]]="no", ISNUMBER(tblSelection[[#This Row],[Context A Complaints per 1,000]]),tblSelection[[#This Row],[Insurance &amp; pure protection]]&gt;0), "Yes", "No")</f>
        <v>Yes</v>
      </c>
      <c r="H20">
        <f>IF(tblSelection[[#This Row],[Eligible?]]="Yes",1+COUNTIFS(tblSelection[Eligible?],"Yes",tblSelection[Insurance &amp; pure protection],"&gt;"&amp;tblSelection[[#This Row],[Insurance &amp; pure protection]]),"")</f>
        <v>19</v>
      </c>
      <c r="I20" t="s">
        <v>420</v>
      </c>
    </row>
    <row r="21" spans="1:9" x14ac:dyDescent="0.35">
      <c r="A21" t="s">
        <v>376</v>
      </c>
      <c r="B21" t="s">
        <v>377</v>
      </c>
      <c r="C21" t="s">
        <v>63</v>
      </c>
      <c r="D21" t="s">
        <v>64</v>
      </c>
      <c r="E21" s="10">
        <v>3950</v>
      </c>
      <c r="F21" s="9">
        <f>_xlfn.XLOOKUP(tblSelection[[#This Row],[Firm Name]],tblContext[Firm Name],tblContext[Insurance &amp; pure protection],"Not found",0)</f>
        <v>1.99</v>
      </c>
      <c r="G21" s="9" t="str">
        <f>IF(AND(tblSelection[[#This Row],[Reporting period]]="2025-07-01 to 2025-12-31", tblSelection[[#This Row],[Joint Reporting]]="no", ISNUMBER(tblSelection[[#This Row],[Context A Complaints per 1,000]]),tblSelection[[#This Row],[Insurance &amp; pure protection]]&gt;0), "Yes", "No")</f>
        <v>Yes</v>
      </c>
      <c r="H21">
        <f>IF(tblSelection[[#This Row],[Eligible?]]="Yes",1+COUNTIFS(tblSelection[Eligible?],"Yes",tblSelection[Insurance &amp; pure protection],"&gt;"&amp;tblSelection[[#This Row],[Insurance &amp; pure protection]]),"")</f>
        <v>20</v>
      </c>
      <c r="I21" t="s">
        <v>420</v>
      </c>
    </row>
    <row r="22" spans="1:9" x14ac:dyDescent="0.35">
      <c r="A22" t="s">
        <v>223</v>
      </c>
      <c r="B22" t="s">
        <v>224</v>
      </c>
      <c r="C22" t="s">
        <v>63</v>
      </c>
      <c r="D22" t="s">
        <v>64</v>
      </c>
      <c r="E22" s="10">
        <v>3792</v>
      </c>
      <c r="F22" s="9">
        <f>_xlfn.XLOOKUP(tblSelection[[#This Row],[Firm Name]],tblContext[Firm Name],tblContext[Insurance &amp; pure protection],"Not found",0)</f>
        <v>1.1000000000000001</v>
      </c>
      <c r="G22" s="9" t="str">
        <f>IF(AND(tblSelection[[#This Row],[Reporting period]]="2025-07-01 to 2025-12-31", tblSelection[[#This Row],[Joint Reporting]]="no", ISNUMBER(tblSelection[[#This Row],[Context A Complaints per 1,000]]),tblSelection[[#This Row],[Insurance &amp; pure protection]]&gt;0), "Yes", "No")</f>
        <v>Yes</v>
      </c>
      <c r="H22">
        <f>IF(tblSelection[[#This Row],[Eligible?]]="Yes",1+COUNTIFS(tblSelection[Eligible?],"Yes",tblSelection[Insurance &amp; pure protection],"&gt;"&amp;tblSelection[[#This Row],[Insurance &amp; pure protection]]),"")</f>
        <v>21</v>
      </c>
      <c r="I22" t="s">
        <v>420</v>
      </c>
    </row>
    <row r="23" spans="1:9" x14ac:dyDescent="0.35">
      <c r="A23" t="s">
        <v>414</v>
      </c>
      <c r="B23" t="s">
        <v>413</v>
      </c>
      <c r="C23" t="s">
        <v>63</v>
      </c>
      <c r="D23" t="s">
        <v>64</v>
      </c>
      <c r="E23" s="10">
        <v>3407</v>
      </c>
      <c r="F23" s="9">
        <f>_xlfn.XLOOKUP(tblSelection[[#This Row],[Firm Name]],tblContext[Firm Name],tblContext[Insurance &amp; pure protection],"Not found",0)</f>
        <v>0.88</v>
      </c>
      <c r="G23" s="9" t="str">
        <f>IF(AND(tblSelection[[#This Row],[Reporting period]]="2025-07-01 to 2025-12-31", tblSelection[[#This Row],[Joint Reporting]]="no", ISNUMBER(tblSelection[[#This Row],[Context A Complaints per 1,000]]),tblSelection[[#This Row],[Insurance &amp; pure protection]]&gt;0), "Yes", "No")</f>
        <v>Yes</v>
      </c>
      <c r="H23">
        <f>IF(tblSelection[[#This Row],[Eligible?]]="Yes",1+COUNTIFS(tblSelection[Eligible?],"Yes",tblSelection[Insurance &amp; pure protection],"&gt;"&amp;tblSelection[[#This Row],[Insurance &amp; pure protection]]),"")</f>
        <v>22</v>
      </c>
      <c r="I23" t="s">
        <v>420</v>
      </c>
    </row>
    <row r="24" spans="1:9" x14ac:dyDescent="0.35">
      <c r="A24" t="s">
        <v>315</v>
      </c>
      <c r="B24" t="s">
        <v>186</v>
      </c>
      <c r="C24" t="s">
        <v>63</v>
      </c>
      <c r="D24" t="s">
        <v>64</v>
      </c>
      <c r="E24" s="10">
        <v>3405</v>
      </c>
      <c r="F24" s="9">
        <f>_xlfn.XLOOKUP(tblSelection[[#This Row],[Firm Name]],tblContext[Firm Name],tblContext[Insurance &amp; pure protection],"Not found",0)</f>
        <v>3.44</v>
      </c>
      <c r="G24" s="9" t="str">
        <f>IF(AND(tblSelection[[#This Row],[Reporting period]]="2025-07-01 to 2025-12-31", tblSelection[[#This Row],[Joint Reporting]]="no", ISNUMBER(tblSelection[[#This Row],[Context A Complaints per 1,000]]),tblSelection[[#This Row],[Insurance &amp; pure protection]]&gt;0), "Yes", "No")</f>
        <v>Yes</v>
      </c>
      <c r="H24">
        <f>IF(tblSelection[[#This Row],[Eligible?]]="Yes",1+COUNTIFS(tblSelection[Eligible?],"Yes",tblSelection[Insurance &amp; pure protection],"&gt;"&amp;tblSelection[[#This Row],[Insurance &amp; pure protection]]),"")</f>
        <v>23</v>
      </c>
      <c r="I24" t="s">
        <v>420</v>
      </c>
    </row>
    <row r="25" spans="1:9" x14ac:dyDescent="0.35">
      <c r="A25" t="s">
        <v>314</v>
      </c>
      <c r="B25" t="s">
        <v>313</v>
      </c>
      <c r="C25" t="s">
        <v>63</v>
      </c>
      <c r="D25" t="s">
        <v>64</v>
      </c>
      <c r="E25" s="10">
        <v>3303</v>
      </c>
      <c r="F25" s="9">
        <f>_xlfn.XLOOKUP(tblSelection[[#This Row],[Firm Name]],tblContext[Firm Name],tblContext[Insurance &amp; pure protection],"Not found",0)</f>
        <v>1.81</v>
      </c>
      <c r="G25" s="9" t="str">
        <f>IF(AND(tblSelection[[#This Row],[Reporting period]]="2025-07-01 to 2025-12-31", tblSelection[[#This Row],[Joint Reporting]]="no", ISNUMBER(tblSelection[[#This Row],[Context A Complaints per 1,000]]),tblSelection[[#This Row],[Insurance &amp; pure protection]]&gt;0), "Yes", "No")</f>
        <v>Yes</v>
      </c>
      <c r="H25">
        <f>IF(tblSelection[[#This Row],[Eligible?]]="Yes",1+COUNTIFS(tblSelection[Eligible?],"Yes",tblSelection[Insurance &amp; pure protection],"&gt;"&amp;tblSelection[[#This Row],[Insurance &amp; pure protection]]),"")</f>
        <v>24</v>
      </c>
      <c r="I25" t="s">
        <v>420</v>
      </c>
    </row>
    <row r="26" spans="1:9" x14ac:dyDescent="0.35">
      <c r="A26" t="s">
        <v>241</v>
      </c>
      <c r="B26" t="s">
        <v>242</v>
      </c>
      <c r="C26" t="s">
        <v>63</v>
      </c>
      <c r="D26" t="s">
        <v>64</v>
      </c>
      <c r="E26" s="10">
        <v>3281</v>
      </c>
      <c r="F26" s="9">
        <f>_xlfn.XLOOKUP(tblSelection[[#This Row],[Firm Name]],tblContext[Firm Name],tblContext[Insurance &amp; pure protection],"Not found",0)</f>
        <v>4.2699999999999996</v>
      </c>
      <c r="G26" s="9" t="str">
        <f>IF(AND(tblSelection[[#This Row],[Reporting period]]="2025-07-01 to 2025-12-31", tblSelection[[#This Row],[Joint Reporting]]="no", ISNUMBER(tblSelection[[#This Row],[Context A Complaints per 1,000]]),tblSelection[[#This Row],[Insurance &amp; pure protection]]&gt;0), "Yes", "No")</f>
        <v>Yes</v>
      </c>
      <c r="H26">
        <f>IF(tblSelection[[#This Row],[Eligible?]]="Yes",1+COUNTIFS(tblSelection[Eligible?],"Yes",tblSelection[Insurance &amp; pure protection],"&gt;"&amp;tblSelection[[#This Row],[Insurance &amp; pure protection]]),"")</f>
        <v>25</v>
      </c>
      <c r="I26" t="s">
        <v>420</v>
      </c>
    </row>
    <row r="27" spans="1:9" x14ac:dyDescent="0.35">
      <c r="A27" t="s">
        <v>300</v>
      </c>
      <c r="B27" t="s">
        <v>77</v>
      </c>
      <c r="C27" t="s">
        <v>63</v>
      </c>
      <c r="D27" t="s">
        <v>64</v>
      </c>
      <c r="E27" s="10">
        <v>2980</v>
      </c>
      <c r="F27" s="9">
        <f>_xlfn.XLOOKUP(tblSelection[[#This Row],[Firm Name]],tblContext[Firm Name],tblContext[Insurance &amp; pure protection],"Not found",0)</f>
        <v>1.7</v>
      </c>
      <c r="G27" s="9" t="str">
        <f>IF(AND(tblSelection[[#This Row],[Reporting period]]="2025-07-01 to 2025-12-31", tblSelection[[#This Row],[Joint Reporting]]="no", ISNUMBER(tblSelection[[#This Row],[Context A Complaints per 1,000]]),tblSelection[[#This Row],[Insurance &amp; pure protection]]&gt;0), "Yes", "No")</f>
        <v>Yes</v>
      </c>
      <c r="H27">
        <f>IF(tblSelection[[#This Row],[Eligible?]]="Yes",1+COUNTIFS(tblSelection[Eligible?],"Yes",tblSelection[Insurance &amp; pure protection],"&gt;"&amp;tblSelection[[#This Row],[Insurance &amp; pure protection]]),"")</f>
        <v>26</v>
      </c>
      <c r="I27" t="s">
        <v>420</v>
      </c>
    </row>
    <row r="28" spans="1:9" x14ac:dyDescent="0.35">
      <c r="A28" t="s">
        <v>103</v>
      </c>
      <c r="B28" t="s">
        <v>104</v>
      </c>
      <c r="C28" t="s">
        <v>63</v>
      </c>
      <c r="D28" t="s">
        <v>64</v>
      </c>
      <c r="E28" s="10">
        <v>2976</v>
      </c>
      <c r="F28" s="9">
        <f>_xlfn.XLOOKUP(tblSelection[[#This Row],[Firm Name]],tblContext[Firm Name],tblContext[Insurance &amp; pure protection],"Not found",0)</f>
        <v>0.31</v>
      </c>
      <c r="G28" s="9" t="str">
        <f>IF(AND(tblSelection[[#This Row],[Reporting period]]="2025-07-01 to 2025-12-31", tblSelection[[#This Row],[Joint Reporting]]="no", ISNUMBER(tblSelection[[#This Row],[Context A Complaints per 1,000]]),tblSelection[[#This Row],[Insurance &amp; pure protection]]&gt;0), "Yes", "No")</f>
        <v>Yes</v>
      </c>
      <c r="H28">
        <f>IF(tblSelection[[#This Row],[Eligible?]]="Yes",1+COUNTIFS(tblSelection[Eligible?],"Yes",tblSelection[Insurance &amp; pure protection],"&gt;"&amp;tblSelection[[#This Row],[Insurance &amp; pure protection]]),"")</f>
        <v>27</v>
      </c>
      <c r="I28" t="s">
        <v>420</v>
      </c>
    </row>
    <row r="29" spans="1:9" x14ac:dyDescent="0.35">
      <c r="A29" t="s">
        <v>92</v>
      </c>
      <c r="B29" t="s">
        <v>93</v>
      </c>
      <c r="C29" t="s">
        <v>63</v>
      </c>
      <c r="D29" t="s">
        <v>64</v>
      </c>
      <c r="E29" s="10">
        <v>2908</v>
      </c>
      <c r="F29" s="9">
        <f>_xlfn.XLOOKUP(tblSelection[[#This Row],[Firm Name]],tblContext[Firm Name],tblContext[Insurance &amp; pure protection],"Not found",0)</f>
        <v>0.56000000000000005</v>
      </c>
      <c r="G29" s="9" t="str">
        <f>IF(AND(tblSelection[[#This Row],[Reporting period]]="2025-07-01 to 2025-12-31", tblSelection[[#This Row],[Joint Reporting]]="no", ISNUMBER(tblSelection[[#This Row],[Context A Complaints per 1,000]]),tblSelection[[#This Row],[Insurance &amp; pure protection]]&gt;0), "Yes", "No")</f>
        <v>Yes</v>
      </c>
      <c r="H29">
        <f>IF(tblSelection[[#This Row],[Eligible?]]="Yes",1+COUNTIFS(tblSelection[Eligible?],"Yes",tblSelection[Insurance &amp; pure protection],"&gt;"&amp;tblSelection[[#This Row],[Insurance &amp; pure protection]]),"")</f>
        <v>28</v>
      </c>
      <c r="I29" t="s">
        <v>420</v>
      </c>
    </row>
    <row r="30" spans="1:9" x14ac:dyDescent="0.35">
      <c r="A30" t="s">
        <v>266</v>
      </c>
      <c r="B30" t="s">
        <v>267</v>
      </c>
      <c r="C30" t="s">
        <v>63</v>
      </c>
      <c r="D30" t="s">
        <v>64</v>
      </c>
      <c r="E30" s="10">
        <v>2895</v>
      </c>
      <c r="F30" s="9">
        <f>_xlfn.XLOOKUP(tblSelection[[#This Row],[Firm Name]],tblContext[Firm Name],tblContext[Insurance &amp; pure protection],"Not found",0)</f>
        <v>0.66</v>
      </c>
      <c r="G30" s="9" t="str">
        <f>IF(AND(tblSelection[[#This Row],[Reporting period]]="2025-07-01 to 2025-12-31", tblSelection[[#This Row],[Joint Reporting]]="no", ISNUMBER(tblSelection[[#This Row],[Context A Complaints per 1,000]]),tblSelection[[#This Row],[Insurance &amp; pure protection]]&gt;0), "Yes", "No")</f>
        <v>Yes</v>
      </c>
      <c r="H30">
        <f>IF(tblSelection[[#This Row],[Eligible?]]="Yes",1+COUNTIFS(tblSelection[Eligible?],"Yes",tblSelection[Insurance &amp; pure protection],"&gt;"&amp;tblSelection[[#This Row],[Insurance &amp; pure protection]]),"")</f>
        <v>29</v>
      </c>
      <c r="I30" t="s">
        <v>420</v>
      </c>
    </row>
    <row r="31" spans="1:9" x14ac:dyDescent="0.35">
      <c r="A31" t="s">
        <v>362</v>
      </c>
      <c r="B31" t="s">
        <v>363</v>
      </c>
      <c r="C31" t="s">
        <v>63</v>
      </c>
      <c r="D31" t="s">
        <v>64</v>
      </c>
      <c r="E31" s="10">
        <v>2771</v>
      </c>
      <c r="F31" s="9">
        <f>_xlfn.XLOOKUP(tblSelection[[#This Row],[Firm Name]],tblContext[Firm Name],tblContext[Insurance &amp; pure protection],"Not found",0)</f>
        <v>4.1399999999999997</v>
      </c>
      <c r="G31" s="9" t="str">
        <f>IF(AND(tblSelection[[#This Row],[Reporting period]]="2025-07-01 to 2025-12-31", tblSelection[[#This Row],[Joint Reporting]]="no", ISNUMBER(tblSelection[[#This Row],[Context A Complaints per 1,000]]),tblSelection[[#This Row],[Insurance &amp; pure protection]]&gt;0), "Yes", "No")</f>
        <v>Yes</v>
      </c>
      <c r="H31">
        <f>IF(tblSelection[[#This Row],[Eligible?]]="Yes",1+COUNTIFS(tblSelection[Eligible?],"Yes",tblSelection[Insurance &amp; pure protection],"&gt;"&amp;tblSelection[[#This Row],[Insurance &amp; pure protection]]),"")</f>
        <v>30</v>
      </c>
      <c r="I31" t="s">
        <v>420</v>
      </c>
    </row>
    <row r="32" spans="1:9" x14ac:dyDescent="0.35">
      <c r="A32" t="s">
        <v>157</v>
      </c>
      <c r="B32" t="s">
        <v>68</v>
      </c>
      <c r="C32" t="s">
        <v>63</v>
      </c>
      <c r="D32" t="s">
        <v>64</v>
      </c>
      <c r="E32" s="10">
        <v>2650</v>
      </c>
      <c r="F32" s="9">
        <f>_xlfn.XLOOKUP(tblSelection[[#This Row],[Firm Name]],tblContext[Firm Name],tblContext[Insurance &amp; pure protection],"Not found",0)</f>
        <v>5.38</v>
      </c>
      <c r="G32" s="9" t="str">
        <f>IF(AND(tblSelection[[#This Row],[Reporting period]]="2025-07-01 to 2025-12-31", tblSelection[[#This Row],[Joint Reporting]]="no", ISNUMBER(tblSelection[[#This Row],[Context A Complaints per 1,000]]),tblSelection[[#This Row],[Insurance &amp; pure protection]]&gt;0), "Yes", "No")</f>
        <v>Yes</v>
      </c>
      <c r="H32">
        <f>IF(tblSelection[[#This Row],[Eligible?]]="Yes",1+COUNTIFS(tblSelection[Eligible?],"Yes",tblSelection[Insurance &amp; pure protection],"&gt;"&amp;tblSelection[[#This Row],[Insurance &amp; pure protection]]),"")</f>
        <v>31</v>
      </c>
      <c r="I32" t="s">
        <v>420</v>
      </c>
    </row>
    <row r="33" spans="1:9" x14ac:dyDescent="0.35">
      <c r="A33" t="s">
        <v>331</v>
      </c>
      <c r="B33" t="s">
        <v>332</v>
      </c>
      <c r="C33" t="s">
        <v>63</v>
      </c>
      <c r="D33" t="s">
        <v>64</v>
      </c>
      <c r="E33" s="10">
        <v>2362</v>
      </c>
      <c r="F33" s="9">
        <f>_xlfn.XLOOKUP(tblSelection[[#This Row],[Firm Name]],tblContext[Firm Name],tblContext[Insurance &amp; pure protection],"Not found",0)</f>
        <v>0.65</v>
      </c>
      <c r="G33" s="9" t="str">
        <f>IF(AND(tblSelection[[#This Row],[Reporting period]]="2025-07-01 to 2025-12-31", tblSelection[[#This Row],[Joint Reporting]]="no", ISNUMBER(tblSelection[[#This Row],[Context A Complaints per 1,000]]),tblSelection[[#This Row],[Insurance &amp; pure protection]]&gt;0), "Yes", "No")</f>
        <v>Yes</v>
      </c>
      <c r="H33">
        <f>IF(tblSelection[[#This Row],[Eligible?]]="Yes",1+COUNTIFS(tblSelection[Eligible?],"Yes",tblSelection[Insurance &amp; pure protection],"&gt;"&amp;tblSelection[[#This Row],[Insurance &amp; pure protection]]),"")</f>
        <v>32</v>
      </c>
      <c r="I33" t="s">
        <v>420</v>
      </c>
    </row>
    <row r="34" spans="1:9" x14ac:dyDescent="0.35">
      <c r="A34" t="s">
        <v>347</v>
      </c>
      <c r="B34" t="s">
        <v>348</v>
      </c>
      <c r="C34" t="s">
        <v>63</v>
      </c>
      <c r="D34" t="s">
        <v>64</v>
      </c>
      <c r="E34" s="10">
        <v>2101</v>
      </c>
      <c r="F34" s="9">
        <f>_xlfn.XLOOKUP(tblSelection[[#This Row],[Firm Name]],tblContext[Firm Name],tblContext[Insurance &amp; pure protection],"Not found",0)</f>
        <v>0.96</v>
      </c>
      <c r="G34" s="9" t="str">
        <f>IF(AND(tblSelection[[#This Row],[Reporting period]]="2025-07-01 to 2025-12-31", tblSelection[[#This Row],[Joint Reporting]]="no", ISNUMBER(tblSelection[[#This Row],[Context A Complaints per 1,000]]),tblSelection[[#This Row],[Insurance &amp; pure protection]]&gt;0), "Yes", "No")</f>
        <v>Yes</v>
      </c>
      <c r="H34">
        <f>IF(tblSelection[[#This Row],[Eligible?]]="Yes",1+COUNTIFS(tblSelection[Eligible?],"Yes",tblSelection[Insurance &amp; pure protection],"&gt;"&amp;tblSelection[[#This Row],[Insurance &amp; pure protection]]),"")</f>
        <v>33</v>
      </c>
      <c r="I34" t="s">
        <v>420</v>
      </c>
    </row>
    <row r="35" spans="1:9" x14ac:dyDescent="0.35">
      <c r="A35" t="s">
        <v>98</v>
      </c>
      <c r="B35" t="s">
        <v>99</v>
      </c>
      <c r="C35" t="s">
        <v>63</v>
      </c>
      <c r="D35" t="s">
        <v>64</v>
      </c>
      <c r="E35" s="10">
        <v>1976</v>
      </c>
      <c r="F35" s="9">
        <f>_xlfn.XLOOKUP(tblSelection[[#This Row],[Firm Name]],tblContext[Firm Name],tblContext[Insurance &amp; pure protection],"Not found",0)</f>
        <v>0.36</v>
      </c>
      <c r="G35" s="9" t="str">
        <f>IF(AND(tblSelection[[#This Row],[Reporting period]]="2025-07-01 to 2025-12-31", tblSelection[[#This Row],[Joint Reporting]]="no", ISNUMBER(tblSelection[[#This Row],[Context A Complaints per 1,000]]),tblSelection[[#This Row],[Insurance &amp; pure protection]]&gt;0), "Yes", "No")</f>
        <v>Yes</v>
      </c>
      <c r="H35">
        <f>IF(tblSelection[[#This Row],[Eligible?]]="Yes",1+COUNTIFS(tblSelection[Eligible?],"Yes",tblSelection[Insurance &amp; pure protection],"&gt;"&amp;tblSelection[[#This Row],[Insurance &amp; pure protection]]),"")</f>
        <v>34</v>
      </c>
      <c r="I35" t="s">
        <v>420</v>
      </c>
    </row>
    <row r="36" spans="1:9" x14ac:dyDescent="0.35">
      <c r="A36" t="s">
        <v>304</v>
      </c>
      <c r="B36" t="s">
        <v>305</v>
      </c>
      <c r="C36" t="s">
        <v>63</v>
      </c>
      <c r="D36" t="s">
        <v>64</v>
      </c>
      <c r="E36" s="10">
        <v>1953</v>
      </c>
      <c r="F36" s="9">
        <f>_xlfn.XLOOKUP(tblSelection[[#This Row],[Firm Name]],tblContext[Firm Name],tblContext[Insurance &amp; pure protection],"Not found",0)</f>
        <v>8.3000000000000007</v>
      </c>
      <c r="G36" s="9" t="str">
        <f>IF(AND(tblSelection[[#This Row],[Reporting period]]="2025-07-01 to 2025-12-31", tblSelection[[#This Row],[Joint Reporting]]="no", ISNUMBER(tblSelection[[#This Row],[Context A Complaints per 1,000]]),tblSelection[[#This Row],[Insurance &amp; pure protection]]&gt;0), "Yes", "No")</f>
        <v>Yes</v>
      </c>
      <c r="H36">
        <f>IF(tblSelection[[#This Row],[Eligible?]]="Yes",1+COUNTIFS(tblSelection[Eligible?],"Yes",tblSelection[Insurance &amp; pure protection],"&gt;"&amp;tblSelection[[#This Row],[Insurance &amp; pure protection]]),"")</f>
        <v>35</v>
      </c>
      <c r="I36" t="s">
        <v>420</v>
      </c>
    </row>
    <row r="37" spans="1:9" x14ac:dyDescent="0.35">
      <c r="A37" t="s">
        <v>412</v>
      </c>
      <c r="B37" t="s">
        <v>413</v>
      </c>
      <c r="C37" t="s">
        <v>63</v>
      </c>
      <c r="D37" t="s">
        <v>64</v>
      </c>
      <c r="E37" s="10">
        <v>1851</v>
      </c>
      <c r="F37" s="9">
        <f>_xlfn.XLOOKUP(tblSelection[[#This Row],[Firm Name]],tblContext[Firm Name],tblContext[Insurance &amp; pure protection],"Not found",0)</f>
        <v>0.6</v>
      </c>
      <c r="G37" s="9" t="str">
        <f>IF(AND(tblSelection[[#This Row],[Reporting period]]="2025-07-01 to 2025-12-31", tblSelection[[#This Row],[Joint Reporting]]="no", ISNUMBER(tblSelection[[#This Row],[Context A Complaints per 1,000]]),tblSelection[[#This Row],[Insurance &amp; pure protection]]&gt;0), "Yes", "No")</f>
        <v>Yes</v>
      </c>
      <c r="H37">
        <f>IF(tblSelection[[#This Row],[Eligible?]]="Yes",1+COUNTIFS(tblSelection[Eligible?],"Yes",tblSelection[Insurance &amp; pure protection],"&gt;"&amp;tblSelection[[#This Row],[Insurance &amp; pure protection]]),"")</f>
        <v>36</v>
      </c>
      <c r="I37" t="s">
        <v>420</v>
      </c>
    </row>
    <row r="38" spans="1:9" x14ac:dyDescent="0.35">
      <c r="A38" t="s">
        <v>128</v>
      </c>
      <c r="B38" t="s">
        <v>129</v>
      </c>
      <c r="C38" t="s">
        <v>63</v>
      </c>
      <c r="D38" t="s">
        <v>64</v>
      </c>
      <c r="E38" s="10">
        <v>1817</v>
      </c>
      <c r="F38" s="9">
        <f>_xlfn.XLOOKUP(tblSelection[[#This Row],[Firm Name]],tblContext[Firm Name],tblContext[Insurance &amp; pure protection],"Not found",0)</f>
        <v>7.52</v>
      </c>
      <c r="G38" s="9" t="str">
        <f>IF(AND(tblSelection[[#This Row],[Reporting period]]="2025-07-01 to 2025-12-31", tblSelection[[#This Row],[Joint Reporting]]="no", ISNUMBER(tblSelection[[#This Row],[Context A Complaints per 1,000]]),tblSelection[[#This Row],[Insurance &amp; pure protection]]&gt;0), "Yes", "No")</f>
        <v>Yes</v>
      </c>
      <c r="H38">
        <f>IF(tblSelection[[#This Row],[Eligible?]]="Yes",1+COUNTIFS(tblSelection[Eligible?],"Yes",tblSelection[Insurance &amp; pure protection],"&gt;"&amp;tblSelection[[#This Row],[Insurance &amp; pure protection]]),"")</f>
        <v>37</v>
      </c>
      <c r="I38" t="s">
        <v>420</v>
      </c>
    </row>
    <row r="39" spans="1:9" x14ac:dyDescent="0.35">
      <c r="A39" t="s">
        <v>114</v>
      </c>
      <c r="B39" t="s">
        <v>115</v>
      </c>
      <c r="C39" t="s">
        <v>63</v>
      </c>
      <c r="D39" t="s">
        <v>64</v>
      </c>
      <c r="E39" s="10">
        <v>1566</v>
      </c>
      <c r="F39" s="9">
        <f>_xlfn.XLOOKUP(tblSelection[[#This Row],[Firm Name]],tblContext[Firm Name],tblContext[Insurance &amp; pure protection],"Not found",0)</f>
        <v>2.2400000000000002</v>
      </c>
      <c r="G39" s="9" t="str">
        <f>IF(AND(tblSelection[[#This Row],[Reporting period]]="2025-07-01 to 2025-12-31", tblSelection[[#This Row],[Joint Reporting]]="no", ISNUMBER(tblSelection[[#This Row],[Context A Complaints per 1,000]]),tblSelection[[#This Row],[Insurance &amp; pure protection]]&gt;0), "Yes", "No")</f>
        <v>Yes</v>
      </c>
      <c r="H39">
        <f>IF(tblSelection[[#This Row],[Eligible?]]="Yes",1+COUNTIFS(tblSelection[Eligible?],"Yes",tblSelection[Insurance &amp; pure protection],"&gt;"&amp;tblSelection[[#This Row],[Insurance &amp; pure protection]]),"")</f>
        <v>38</v>
      </c>
      <c r="I39" t="s">
        <v>420</v>
      </c>
    </row>
    <row r="40" spans="1:9" x14ac:dyDescent="0.35">
      <c r="A40" t="s">
        <v>248</v>
      </c>
      <c r="B40" t="s">
        <v>68</v>
      </c>
      <c r="C40" t="s">
        <v>63</v>
      </c>
      <c r="D40" t="s">
        <v>64</v>
      </c>
      <c r="E40" s="10">
        <v>1266</v>
      </c>
      <c r="F40" s="9">
        <f>_xlfn.XLOOKUP(tblSelection[[#This Row],[Firm Name]],tblContext[Firm Name],tblContext[Insurance &amp; pure protection],"Not found",0)</f>
        <v>3.98</v>
      </c>
      <c r="G40" s="9" t="str">
        <f>IF(AND(tblSelection[[#This Row],[Reporting period]]="2025-07-01 to 2025-12-31", tblSelection[[#This Row],[Joint Reporting]]="no", ISNUMBER(tblSelection[[#This Row],[Context A Complaints per 1,000]]),tblSelection[[#This Row],[Insurance &amp; pure protection]]&gt;0), "Yes", "No")</f>
        <v>Yes</v>
      </c>
      <c r="H40">
        <f>IF(tblSelection[[#This Row],[Eligible?]]="Yes",1+COUNTIFS(tblSelection[Eligible?],"Yes",tblSelection[Insurance &amp; pure protection],"&gt;"&amp;tblSelection[[#This Row],[Insurance &amp; pure protection]]),"")</f>
        <v>39</v>
      </c>
      <c r="I40" t="s">
        <v>420</v>
      </c>
    </row>
    <row r="41" spans="1:9" x14ac:dyDescent="0.35">
      <c r="A41" t="s">
        <v>271</v>
      </c>
      <c r="B41" t="s">
        <v>272</v>
      </c>
      <c r="C41" t="s">
        <v>63</v>
      </c>
      <c r="D41" t="s">
        <v>64</v>
      </c>
      <c r="E41" s="10">
        <v>1248</v>
      </c>
      <c r="F41" s="9">
        <f>_xlfn.XLOOKUP(tblSelection[[#This Row],[Firm Name]],tblContext[Firm Name],tblContext[Insurance &amp; pure protection],"Not found",0)</f>
        <v>1.31</v>
      </c>
      <c r="G41" s="9" t="str">
        <f>IF(AND(tblSelection[[#This Row],[Reporting period]]="2025-07-01 to 2025-12-31", tblSelection[[#This Row],[Joint Reporting]]="no", ISNUMBER(tblSelection[[#This Row],[Context A Complaints per 1,000]]),tblSelection[[#This Row],[Insurance &amp; pure protection]]&gt;0), "Yes", "No")</f>
        <v>Yes</v>
      </c>
      <c r="H41">
        <f>IF(tblSelection[[#This Row],[Eligible?]]="Yes",1+COUNTIFS(tblSelection[Eligible?],"Yes",tblSelection[Insurance &amp; pure protection],"&gt;"&amp;tblSelection[[#This Row],[Insurance &amp; pure protection]]),"")</f>
        <v>40</v>
      </c>
      <c r="I41" t="s">
        <v>420</v>
      </c>
    </row>
    <row r="42" spans="1:9" x14ac:dyDescent="0.35">
      <c r="A42" t="s">
        <v>283</v>
      </c>
      <c r="B42" t="s">
        <v>284</v>
      </c>
      <c r="C42" t="s">
        <v>63</v>
      </c>
      <c r="D42" t="s">
        <v>64</v>
      </c>
      <c r="E42" s="10">
        <v>1126</v>
      </c>
      <c r="F42" s="9">
        <f>_xlfn.XLOOKUP(tblSelection[[#This Row],[Firm Name]],tblContext[Firm Name],tblContext[Insurance &amp; pure protection],"Not found",0)</f>
        <v>2.38</v>
      </c>
      <c r="G42" s="9" t="str">
        <f>IF(AND(tblSelection[[#This Row],[Reporting period]]="2025-07-01 to 2025-12-31", tblSelection[[#This Row],[Joint Reporting]]="no", ISNUMBER(tblSelection[[#This Row],[Context A Complaints per 1,000]]),tblSelection[[#This Row],[Insurance &amp; pure protection]]&gt;0), "Yes", "No")</f>
        <v>Yes</v>
      </c>
      <c r="H42">
        <f>IF(tblSelection[[#This Row],[Eligible?]]="Yes",1+COUNTIFS(tblSelection[Eligible?],"Yes",tblSelection[Insurance &amp; pure protection],"&gt;"&amp;tblSelection[[#This Row],[Insurance &amp; pure protection]]),"")</f>
        <v>41</v>
      </c>
      <c r="I42" t="s">
        <v>420</v>
      </c>
    </row>
    <row r="43" spans="1:9" x14ac:dyDescent="0.35">
      <c r="A43" t="s">
        <v>210</v>
      </c>
      <c r="B43" t="s">
        <v>77</v>
      </c>
      <c r="C43" t="s">
        <v>63</v>
      </c>
      <c r="D43" t="s">
        <v>64</v>
      </c>
      <c r="E43" s="10">
        <v>1114</v>
      </c>
      <c r="F43" s="9">
        <f>_xlfn.XLOOKUP(tblSelection[[#This Row],[Firm Name]],tblContext[Firm Name],tblContext[Insurance &amp; pure protection],"Not found",0)</f>
        <v>0.16</v>
      </c>
      <c r="G43" s="9" t="str">
        <f>IF(AND(tblSelection[[#This Row],[Reporting period]]="2025-07-01 to 2025-12-31", tblSelection[[#This Row],[Joint Reporting]]="no", ISNUMBER(tblSelection[[#This Row],[Context A Complaints per 1,000]]),tblSelection[[#This Row],[Insurance &amp; pure protection]]&gt;0), "Yes", "No")</f>
        <v>Yes</v>
      </c>
      <c r="H43">
        <f>IF(tblSelection[[#This Row],[Eligible?]]="Yes",1+COUNTIFS(tblSelection[Eligible?],"Yes",tblSelection[Insurance &amp; pure protection],"&gt;"&amp;tblSelection[[#This Row],[Insurance &amp; pure protection]]),"")</f>
        <v>42</v>
      </c>
      <c r="I43" t="s">
        <v>420</v>
      </c>
    </row>
    <row r="44" spans="1:9" x14ac:dyDescent="0.35">
      <c r="A44" t="s">
        <v>119</v>
      </c>
      <c r="B44" t="s">
        <v>120</v>
      </c>
      <c r="C44" t="s">
        <v>63</v>
      </c>
      <c r="D44" t="s">
        <v>64</v>
      </c>
      <c r="E44" s="10">
        <v>1100</v>
      </c>
      <c r="F44" s="9">
        <f>_xlfn.XLOOKUP(tblSelection[[#This Row],[Firm Name]],tblContext[Firm Name],tblContext[Insurance &amp; pure protection],"Not found",0)</f>
        <v>3.17</v>
      </c>
      <c r="G44" s="9" t="str">
        <f>IF(AND(tblSelection[[#This Row],[Reporting period]]="2025-07-01 to 2025-12-31", tblSelection[[#This Row],[Joint Reporting]]="no", ISNUMBER(tblSelection[[#This Row],[Context A Complaints per 1,000]]),tblSelection[[#This Row],[Insurance &amp; pure protection]]&gt;0), "Yes", "No")</f>
        <v>Yes</v>
      </c>
      <c r="H44">
        <f>IF(tblSelection[[#This Row],[Eligible?]]="Yes",1+COUNTIFS(tblSelection[Eligible?],"Yes",tblSelection[Insurance &amp; pure protection],"&gt;"&amp;tblSelection[[#This Row],[Insurance &amp; pure protection]]),"")</f>
        <v>43</v>
      </c>
      <c r="I44" t="s">
        <v>420</v>
      </c>
    </row>
    <row r="45" spans="1:9" x14ac:dyDescent="0.35">
      <c r="A45" t="s">
        <v>358</v>
      </c>
      <c r="B45" t="s">
        <v>359</v>
      </c>
      <c r="C45" t="s">
        <v>63</v>
      </c>
      <c r="D45" t="s">
        <v>64</v>
      </c>
      <c r="E45" s="10">
        <v>1075</v>
      </c>
      <c r="F45" s="9">
        <f>_xlfn.XLOOKUP(tblSelection[[#This Row],[Firm Name]],tblContext[Firm Name],tblContext[Insurance &amp; pure protection],"Not found",0)</f>
        <v>3.38</v>
      </c>
      <c r="G45" s="9" t="str">
        <f>IF(AND(tblSelection[[#This Row],[Reporting period]]="2025-07-01 to 2025-12-31", tblSelection[[#This Row],[Joint Reporting]]="no", ISNUMBER(tblSelection[[#This Row],[Context A Complaints per 1,000]]),tblSelection[[#This Row],[Insurance &amp; pure protection]]&gt;0), "Yes", "No")</f>
        <v>Yes</v>
      </c>
      <c r="H45">
        <f>IF(tblSelection[[#This Row],[Eligible?]]="Yes",1+COUNTIFS(tblSelection[Eligible?],"Yes",tblSelection[Insurance &amp; pure protection],"&gt;"&amp;tblSelection[[#This Row],[Insurance &amp; pure protection]]),"")</f>
        <v>44</v>
      </c>
      <c r="I45" t="s">
        <v>420</v>
      </c>
    </row>
    <row r="46" spans="1:9" x14ac:dyDescent="0.35">
      <c r="A46" t="s">
        <v>207</v>
      </c>
      <c r="B46" t="s">
        <v>77</v>
      </c>
      <c r="C46" t="s">
        <v>63</v>
      </c>
      <c r="D46" t="s">
        <v>64</v>
      </c>
      <c r="E46" s="10">
        <v>1050</v>
      </c>
      <c r="F46" s="9">
        <f>_xlfn.XLOOKUP(tblSelection[[#This Row],[Firm Name]],tblContext[Firm Name],tblContext[Insurance &amp; pure protection],"Not found",0)</f>
        <v>6.93</v>
      </c>
      <c r="G46" s="9" t="str">
        <f>IF(AND(tblSelection[[#This Row],[Reporting period]]="2025-07-01 to 2025-12-31", tblSelection[[#This Row],[Joint Reporting]]="no", ISNUMBER(tblSelection[[#This Row],[Context A Complaints per 1,000]]),tblSelection[[#This Row],[Insurance &amp; pure protection]]&gt;0), "Yes", "No")</f>
        <v>Yes</v>
      </c>
      <c r="H46">
        <f>IF(tblSelection[[#This Row],[Eligible?]]="Yes",1+COUNTIFS(tblSelection[Eligible?],"Yes",tblSelection[Insurance &amp; pure protection],"&gt;"&amp;tblSelection[[#This Row],[Insurance &amp; pure protection]]),"")</f>
        <v>45</v>
      </c>
      <c r="I46" t="s">
        <v>420</v>
      </c>
    </row>
    <row r="47" spans="1:9" x14ac:dyDescent="0.35">
      <c r="A47" t="s">
        <v>160</v>
      </c>
      <c r="B47" t="s">
        <v>77</v>
      </c>
      <c r="C47" t="s">
        <v>63</v>
      </c>
      <c r="D47" t="s">
        <v>64</v>
      </c>
      <c r="E47" s="10">
        <v>1027</v>
      </c>
      <c r="F47" s="9">
        <f>_xlfn.XLOOKUP(tblSelection[[#This Row],[Firm Name]],tblContext[Firm Name],tblContext[Insurance &amp; pure protection],"Not found",0)</f>
        <v>7.22</v>
      </c>
      <c r="G47" s="9" t="str">
        <f>IF(AND(tblSelection[[#This Row],[Reporting period]]="2025-07-01 to 2025-12-31", tblSelection[[#This Row],[Joint Reporting]]="no", ISNUMBER(tblSelection[[#This Row],[Context A Complaints per 1,000]]),tblSelection[[#This Row],[Insurance &amp; pure protection]]&gt;0), "Yes", "No")</f>
        <v>Yes</v>
      </c>
      <c r="H47">
        <f>IF(tblSelection[[#This Row],[Eligible?]]="Yes",1+COUNTIFS(tblSelection[Eligible?],"Yes",tblSelection[Insurance &amp; pure protection],"&gt;"&amp;tblSelection[[#This Row],[Insurance &amp; pure protection]]),"")</f>
        <v>46</v>
      </c>
      <c r="I47" t="s">
        <v>420</v>
      </c>
    </row>
    <row r="48" spans="1:9" x14ac:dyDescent="0.35">
      <c r="A48" t="s">
        <v>341</v>
      </c>
      <c r="B48" t="s">
        <v>135</v>
      </c>
      <c r="C48" t="s">
        <v>63</v>
      </c>
      <c r="D48" t="s">
        <v>64</v>
      </c>
      <c r="E48" s="10">
        <v>1007</v>
      </c>
      <c r="F48" s="9">
        <f>_xlfn.XLOOKUP(tblSelection[[#This Row],[Firm Name]],tblContext[Firm Name],tblContext[Insurance &amp; pure protection],"Not found",0)</f>
        <v>0.87</v>
      </c>
      <c r="G48" s="9" t="str">
        <f>IF(AND(tblSelection[[#This Row],[Reporting period]]="2025-07-01 to 2025-12-31", tblSelection[[#This Row],[Joint Reporting]]="no", ISNUMBER(tblSelection[[#This Row],[Context A Complaints per 1,000]]),tblSelection[[#This Row],[Insurance &amp; pure protection]]&gt;0), "Yes", "No")</f>
        <v>Yes</v>
      </c>
      <c r="H48">
        <f>IF(tblSelection[[#This Row],[Eligible?]]="Yes",1+COUNTIFS(tblSelection[Eligible?],"Yes",tblSelection[Insurance &amp; pure protection],"&gt;"&amp;tblSelection[[#This Row],[Insurance &amp; pure protection]]),"")</f>
        <v>47</v>
      </c>
      <c r="I48" t="s">
        <v>420</v>
      </c>
    </row>
    <row r="49" spans="1:9" x14ac:dyDescent="0.35">
      <c r="A49" t="s">
        <v>232</v>
      </c>
      <c r="B49" t="s">
        <v>233</v>
      </c>
      <c r="C49" t="s">
        <v>63</v>
      </c>
      <c r="D49" t="s">
        <v>64</v>
      </c>
      <c r="E49">
        <v>965</v>
      </c>
      <c r="F49" s="9">
        <f>_xlfn.XLOOKUP(tblSelection[[#This Row],[Firm Name]],tblContext[Firm Name],tblContext[Insurance &amp; pure protection],"Not found",0)</f>
        <v>0.45</v>
      </c>
      <c r="G49" s="9" t="str">
        <f>IF(AND(tblSelection[[#This Row],[Reporting period]]="2025-07-01 to 2025-12-31", tblSelection[[#This Row],[Joint Reporting]]="no", ISNUMBER(tblSelection[[#This Row],[Context A Complaints per 1,000]]),tblSelection[[#This Row],[Insurance &amp; pure protection]]&gt;0), "Yes", "No")</f>
        <v>Yes</v>
      </c>
      <c r="H49">
        <f>IF(tblSelection[[#This Row],[Eligible?]]="Yes",1+COUNTIFS(tblSelection[Eligible?],"Yes",tblSelection[Insurance &amp; pure protection],"&gt;"&amp;tblSelection[[#This Row],[Insurance &amp; pure protection]]),"")</f>
        <v>48</v>
      </c>
      <c r="I49" t="s">
        <v>420</v>
      </c>
    </row>
    <row r="50" spans="1:9" x14ac:dyDescent="0.35">
      <c r="A50" t="s">
        <v>245</v>
      </c>
      <c r="B50" t="s">
        <v>68</v>
      </c>
      <c r="C50" t="s">
        <v>63</v>
      </c>
      <c r="D50" t="s">
        <v>64</v>
      </c>
      <c r="E50">
        <v>958</v>
      </c>
      <c r="F50" s="9">
        <f>_xlfn.XLOOKUP(tblSelection[[#This Row],[Firm Name]],tblContext[Firm Name],tblContext[Insurance &amp; pure protection],"Not found",0)</f>
        <v>2.78</v>
      </c>
      <c r="G50" s="9" t="str">
        <f>IF(AND(tblSelection[[#This Row],[Reporting period]]="2025-07-01 to 2025-12-31", tblSelection[[#This Row],[Joint Reporting]]="no", ISNUMBER(tblSelection[[#This Row],[Context A Complaints per 1,000]]),tblSelection[[#This Row],[Insurance &amp; pure protection]]&gt;0), "Yes", "No")</f>
        <v>Yes</v>
      </c>
      <c r="H50">
        <f>IF(tblSelection[[#This Row],[Eligible?]]="Yes",1+COUNTIFS(tblSelection[Eligible?],"Yes",tblSelection[Insurance &amp; pure protection],"&gt;"&amp;tblSelection[[#This Row],[Insurance &amp; pure protection]]),"")</f>
        <v>49</v>
      </c>
      <c r="I50" t="s">
        <v>420</v>
      </c>
    </row>
    <row r="51" spans="1:9" x14ac:dyDescent="0.35">
      <c r="A51" t="s">
        <v>96</v>
      </c>
      <c r="B51" t="s">
        <v>97</v>
      </c>
      <c r="C51" t="s">
        <v>63</v>
      </c>
      <c r="D51" t="s">
        <v>64</v>
      </c>
      <c r="E51" s="10">
        <v>955</v>
      </c>
      <c r="F51" s="9">
        <f>_xlfn.XLOOKUP(tblSelection[[#This Row],[Firm Name]],tblContext[Firm Name],tblContext[Insurance &amp; pure protection],"Not found",0)</f>
        <v>0.2</v>
      </c>
      <c r="G51" s="9" t="str">
        <f>IF(AND(tblSelection[[#This Row],[Reporting period]]="2025-07-01 to 2025-12-31", tblSelection[[#This Row],[Joint Reporting]]="no", ISNUMBER(tblSelection[[#This Row],[Context A Complaints per 1,000]]),tblSelection[[#This Row],[Insurance &amp; pure protection]]&gt;0), "Yes", "No")</f>
        <v>Yes</v>
      </c>
      <c r="H51">
        <f>IF(tblSelection[[#This Row],[Eligible?]]="Yes",1+COUNTIFS(tblSelection[Eligible?],"Yes",tblSelection[Insurance &amp; pure protection],"&gt;"&amp;tblSelection[[#This Row],[Insurance &amp; pure protection]]),"")</f>
        <v>50</v>
      </c>
      <c r="I51" t="s">
        <v>420</v>
      </c>
    </row>
    <row r="52" spans="1:9" x14ac:dyDescent="0.35">
      <c r="A52" t="s">
        <v>317</v>
      </c>
      <c r="B52" t="s">
        <v>318</v>
      </c>
      <c r="C52" t="s">
        <v>63</v>
      </c>
      <c r="D52" t="s">
        <v>64</v>
      </c>
      <c r="E52">
        <v>910</v>
      </c>
      <c r="F52" s="9">
        <f>_xlfn.XLOOKUP(tblSelection[[#This Row],[Firm Name]],tblContext[Firm Name],tblContext[Insurance &amp; pure protection],"Not found",0)</f>
        <v>4.7300000000000004</v>
      </c>
      <c r="G52" s="9" t="str">
        <f>IF(AND(tblSelection[[#This Row],[Reporting period]]="2025-07-01 to 2025-12-31", tblSelection[[#This Row],[Joint Reporting]]="no", ISNUMBER(tblSelection[[#This Row],[Context A Complaints per 1,000]]),tblSelection[[#This Row],[Insurance &amp; pure protection]]&gt;0), "Yes", "No")</f>
        <v>Yes</v>
      </c>
      <c r="H52">
        <f>IF(tblSelection[[#This Row],[Eligible?]]="Yes",1+COUNTIFS(tblSelection[Eligible?],"Yes",tblSelection[Insurance &amp; pure protection],"&gt;"&amp;tblSelection[[#This Row],[Insurance &amp; pure protection]]),"")</f>
        <v>51</v>
      </c>
      <c r="I52" t="s">
        <v>420</v>
      </c>
    </row>
    <row r="53" spans="1:9" x14ac:dyDescent="0.35">
      <c r="A53" t="s">
        <v>83</v>
      </c>
      <c r="B53" t="s">
        <v>82</v>
      </c>
      <c r="C53" t="s">
        <v>63</v>
      </c>
      <c r="D53" t="s">
        <v>64</v>
      </c>
      <c r="E53" s="10">
        <v>909</v>
      </c>
      <c r="F53" s="9">
        <f>_xlfn.XLOOKUP(tblSelection[[#This Row],[Firm Name]],tblContext[Firm Name],tblContext[Insurance &amp; pure protection],"Not found",0)</f>
        <v>1.34</v>
      </c>
      <c r="G53" s="9" t="str">
        <f>IF(AND(tblSelection[[#This Row],[Reporting period]]="2025-07-01 to 2025-12-31", tblSelection[[#This Row],[Joint Reporting]]="no", ISNUMBER(tblSelection[[#This Row],[Context A Complaints per 1,000]]),tblSelection[[#This Row],[Insurance &amp; pure protection]]&gt;0), "Yes", "No")</f>
        <v>Yes</v>
      </c>
      <c r="H53">
        <f>IF(tblSelection[[#This Row],[Eligible?]]="Yes",1+COUNTIFS(tblSelection[Eligible?],"Yes",tblSelection[Insurance &amp; pure protection],"&gt;"&amp;tblSelection[[#This Row],[Insurance &amp; pure protection]]),"")</f>
        <v>52</v>
      </c>
      <c r="I53" t="s">
        <v>420</v>
      </c>
    </row>
    <row r="54" spans="1:9" x14ac:dyDescent="0.35">
      <c r="A54" t="s">
        <v>301</v>
      </c>
      <c r="B54" t="s">
        <v>77</v>
      </c>
      <c r="C54" t="s">
        <v>63</v>
      </c>
      <c r="D54" t="s">
        <v>64</v>
      </c>
      <c r="E54">
        <v>770</v>
      </c>
      <c r="F54" s="9">
        <f>_xlfn.XLOOKUP(tblSelection[[#This Row],[Firm Name]],tblContext[Firm Name],tblContext[Insurance &amp; pure protection],"Not found",0)</f>
        <v>9.11</v>
      </c>
      <c r="G54" s="9" t="str">
        <f>IF(AND(tblSelection[[#This Row],[Reporting period]]="2025-07-01 to 2025-12-31", tblSelection[[#This Row],[Joint Reporting]]="no", ISNUMBER(tblSelection[[#This Row],[Context A Complaints per 1,000]]),tblSelection[[#This Row],[Insurance &amp; pure protection]]&gt;0), "Yes", "No")</f>
        <v>Yes</v>
      </c>
      <c r="H54">
        <f>IF(tblSelection[[#This Row],[Eligible?]]="Yes",1+COUNTIFS(tblSelection[Eligible?],"Yes",tblSelection[Insurance &amp; pure protection],"&gt;"&amp;tblSelection[[#This Row],[Insurance &amp; pure protection]]),"")</f>
        <v>53</v>
      </c>
      <c r="I54" t="s">
        <v>420</v>
      </c>
    </row>
    <row r="55" spans="1:9" x14ac:dyDescent="0.35">
      <c r="A55" t="s">
        <v>69</v>
      </c>
      <c r="B55" t="s">
        <v>70</v>
      </c>
      <c r="C55" t="s">
        <v>63</v>
      </c>
      <c r="D55" t="s">
        <v>64</v>
      </c>
      <c r="E55">
        <v>766</v>
      </c>
      <c r="F55" s="9">
        <f>_xlfn.XLOOKUP(tblSelection[[#This Row],[Firm Name]],tblContext[Firm Name],tblContext[Insurance &amp; pure protection],"Not found",0)</f>
        <v>1.1499999999999999</v>
      </c>
      <c r="G55" s="9" t="str">
        <f>IF(AND(tblSelection[[#This Row],[Reporting period]]="2025-07-01 to 2025-12-31", tblSelection[[#This Row],[Joint Reporting]]="no", ISNUMBER(tblSelection[[#This Row],[Context A Complaints per 1,000]]),tblSelection[[#This Row],[Insurance &amp; pure protection]]&gt;0), "Yes", "No")</f>
        <v>Yes</v>
      </c>
      <c r="H55">
        <f>IF(tblSelection[[#This Row],[Eligible?]]="Yes",1+COUNTIFS(tblSelection[Eligible?],"Yes",tblSelection[Insurance &amp; pure protection],"&gt;"&amp;tblSelection[[#This Row],[Insurance &amp; pure protection]]),"")</f>
        <v>54</v>
      </c>
      <c r="I55" t="s">
        <v>420</v>
      </c>
    </row>
    <row r="56" spans="1:9" x14ac:dyDescent="0.35">
      <c r="A56" t="s">
        <v>125</v>
      </c>
      <c r="B56" t="s">
        <v>122</v>
      </c>
      <c r="C56" t="s">
        <v>63</v>
      </c>
      <c r="D56" t="s">
        <v>64</v>
      </c>
      <c r="E56">
        <v>760</v>
      </c>
      <c r="F56" s="9">
        <f>_xlfn.XLOOKUP(tblSelection[[#This Row],[Firm Name]],tblContext[Firm Name],tblContext[Insurance &amp; pure protection],"Not found",0)</f>
        <v>0.62</v>
      </c>
      <c r="G56" s="9" t="str">
        <f>IF(AND(tblSelection[[#This Row],[Reporting period]]="2025-07-01 to 2025-12-31", tblSelection[[#This Row],[Joint Reporting]]="no", ISNUMBER(tblSelection[[#This Row],[Context A Complaints per 1,000]]),tblSelection[[#This Row],[Insurance &amp; pure protection]]&gt;0), "Yes", "No")</f>
        <v>Yes</v>
      </c>
      <c r="H56">
        <f>IF(tblSelection[[#This Row],[Eligible?]]="Yes",1+COUNTIFS(tblSelection[Eligible?],"Yes",tblSelection[Insurance &amp; pure protection],"&gt;"&amp;tblSelection[[#This Row],[Insurance &amp; pure protection]]),"")</f>
        <v>55</v>
      </c>
      <c r="I56" t="s">
        <v>420</v>
      </c>
    </row>
    <row r="57" spans="1:9" x14ac:dyDescent="0.35">
      <c r="A57" t="s">
        <v>239</v>
      </c>
      <c r="B57" t="s">
        <v>240</v>
      </c>
      <c r="C57" t="s">
        <v>63</v>
      </c>
      <c r="D57" t="s">
        <v>64</v>
      </c>
      <c r="E57">
        <v>711</v>
      </c>
      <c r="F57" s="9">
        <f>_xlfn.XLOOKUP(tblSelection[[#This Row],[Firm Name]],tblContext[Firm Name],tblContext[Insurance &amp; pure protection],"Not found",0)</f>
        <v>1.81</v>
      </c>
      <c r="G57" s="9" t="str">
        <f>IF(AND(tblSelection[[#This Row],[Reporting period]]="2025-07-01 to 2025-12-31", tblSelection[[#This Row],[Joint Reporting]]="no", ISNUMBER(tblSelection[[#This Row],[Context A Complaints per 1,000]]),tblSelection[[#This Row],[Insurance &amp; pure protection]]&gt;0), "Yes", "No")</f>
        <v>Yes</v>
      </c>
      <c r="H57">
        <f>IF(tblSelection[[#This Row],[Eligible?]]="Yes",1+COUNTIFS(tblSelection[Eligible?],"Yes",tblSelection[Insurance &amp; pure protection],"&gt;"&amp;tblSelection[[#This Row],[Insurance &amp; pure protection]]),"")</f>
        <v>56</v>
      </c>
      <c r="I57" t="s">
        <v>420</v>
      </c>
    </row>
    <row r="58" spans="1:9" x14ac:dyDescent="0.35">
      <c r="A58" t="s">
        <v>101</v>
      </c>
      <c r="B58" t="s">
        <v>102</v>
      </c>
      <c r="C58" t="s">
        <v>63</v>
      </c>
      <c r="D58" t="s">
        <v>64</v>
      </c>
      <c r="E58" s="10">
        <v>650</v>
      </c>
      <c r="F58" s="9">
        <f>_xlfn.XLOOKUP(tblSelection[[#This Row],[Firm Name]],tblContext[Firm Name],tblContext[Insurance &amp; pure protection],"Not found",0)</f>
        <v>3.29</v>
      </c>
      <c r="G58" s="9" t="str">
        <f>IF(AND(tblSelection[[#This Row],[Reporting period]]="2025-07-01 to 2025-12-31", tblSelection[[#This Row],[Joint Reporting]]="no", ISNUMBER(tblSelection[[#This Row],[Context A Complaints per 1,000]]),tblSelection[[#This Row],[Insurance &amp; pure protection]]&gt;0), "Yes", "No")</f>
        <v>Yes</v>
      </c>
      <c r="H58">
        <f>IF(tblSelection[[#This Row],[Eligible?]]="Yes",1+COUNTIFS(tblSelection[Eligible?],"Yes",tblSelection[Insurance &amp; pure protection],"&gt;"&amp;tblSelection[[#This Row],[Insurance &amp; pure protection]]),"")</f>
        <v>57</v>
      </c>
      <c r="I58" t="s">
        <v>420</v>
      </c>
    </row>
    <row r="59" spans="1:9" x14ac:dyDescent="0.35">
      <c r="A59" t="s">
        <v>333</v>
      </c>
      <c r="B59" t="s">
        <v>334</v>
      </c>
      <c r="C59" t="s">
        <v>63</v>
      </c>
      <c r="D59" t="s">
        <v>64</v>
      </c>
      <c r="E59">
        <v>644</v>
      </c>
      <c r="F59" s="9">
        <f>_xlfn.XLOOKUP(tblSelection[[#This Row],[Firm Name]],tblContext[Firm Name],tblContext[Insurance &amp; pure protection],"Not found",0)</f>
        <v>2.59</v>
      </c>
      <c r="G59" s="9" t="str">
        <f>IF(AND(tblSelection[[#This Row],[Reporting period]]="2025-07-01 to 2025-12-31", tblSelection[[#This Row],[Joint Reporting]]="no", ISNUMBER(tblSelection[[#This Row],[Context A Complaints per 1,000]]),tblSelection[[#This Row],[Insurance &amp; pure protection]]&gt;0), "Yes", "No")</f>
        <v>Yes</v>
      </c>
      <c r="H59">
        <f>IF(tblSelection[[#This Row],[Eligible?]]="Yes",1+COUNTIFS(tblSelection[Eligible?],"Yes",tblSelection[Insurance &amp; pure protection],"&gt;"&amp;tblSelection[[#This Row],[Insurance &amp; pure protection]]),"")</f>
        <v>58</v>
      </c>
      <c r="I59" t="s">
        <v>420</v>
      </c>
    </row>
    <row r="60" spans="1:9" x14ac:dyDescent="0.35">
      <c r="A60" t="s">
        <v>67</v>
      </c>
      <c r="B60" t="s">
        <v>68</v>
      </c>
      <c r="C60" t="s">
        <v>63</v>
      </c>
      <c r="D60" t="s">
        <v>64</v>
      </c>
      <c r="E60">
        <v>636</v>
      </c>
      <c r="F60" s="9">
        <f>_xlfn.XLOOKUP(tblSelection[[#This Row],[Firm Name]],tblContext[Firm Name],tblContext[Insurance &amp; pure protection],"Not found",0)</f>
        <v>13.04</v>
      </c>
      <c r="G60" s="9" t="str">
        <f>IF(AND(tblSelection[[#This Row],[Reporting period]]="2025-07-01 to 2025-12-31", tblSelection[[#This Row],[Joint Reporting]]="no", ISNUMBER(tblSelection[[#This Row],[Context A Complaints per 1,000]]),tblSelection[[#This Row],[Insurance &amp; pure protection]]&gt;0), "Yes", "No")</f>
        <v>Yes</v>
      </c>
      <c r="H60">
        <f>IF(tblSelection[[#This Row],[Eligible?]]="Yes",1+COUNTIFS(tblSelection[Eligible?],"Yes",tblSelection[Insurance &amp; pure protection],"&gt;"&amp;tblSelection[[#This Row],[Insurance &amp; pure protection]]),"")</f>
        <v>59</v>
      </c>
      <c r="I60" t="s">
        <v>420</v>
      </c>
    </row>
    <row r="61" spans="1:9" x14ac:dyDescent="0.35">
      <c r="A61" t="s">
        <v>234</v>
      </c>
      <c r="B61" t="s">
        <v>93</v>
      </c>
      <c r="C61" t="s">
        <v>63</v>
      </c>
      <c r="D61" t="s">
        <v>64</v>
      </c>
      <c r="E61">
        <v>611</v>
      </c>
      <c r="F61" s="9">
        <f>_xlfn.XLOOKUP(tblSelection[[#This Row],[Firm Name]],tblContext[Firm Name],tblContext[Insurance &amp; pure protection],"Not found",0)</f>
        <v>0.86</v>
      </c>
      <c r="G61" s="9" t="str">
        <f>IF(AND(tblSelection[[#This Row],[Reporting period]]="2025-07-01 to 2025-12-31", tblSelection[[#This Row],[Joint Reporting]]="no", ISNUMBER(tblSelection[[#This Row],[Context A Complaints per 1,000]]),tblSelection[[#This Row],[Insurance &amp; pure protection]]&gt;0), "Yes", "No")</f>
        <v>Yes</v>
      </c>
      <c r="H61">
        <f>IF(tblSelection[[#This Row],[Eligible?]]="Yes",1+COUNTIFS(tblSelection[Eligible?],"Yes",tblSelection[Insurance &amp; pure protection],"&gt;"&amp;tblSelection[[#This Row],[Insurance &amp; pure protection]]),"")</f>
        <v>60</v>
      </c>
      <c r="I61" t="s">
        <v>420</v>
      </c>
    </row>
    <row r="62" spans="1:9" x14ac:dyDescent="0.35">
      <c r="A62" t="s">
        <v>268</v>
      </c>
      <c r="B62" t="s">
        <v>77</v>
      </c>
      <c r="C62" t="s">
        <v>63</v>
      </c>
      <c r="D62" t="s">
        <v>64</v>
      </c>
      <c r="E62">
        <v>583</v>
      </c>
      <c r="F62" s="9">
        <f>_xlfn.XLOOKUP(tblSelection[[#This Row],[Firm Name]],tblContext[Firm Name],tblContext[Insurance &amp; pure protection],"Not found",0)</f>
        <v>6.01</v>
      </c>
      <c r="G62" s="9" t="str">
        <f>IF(AND(tblSelection[[#This Row],[Reporting period]]="2025-07-01 to 2025-12-31", tblSelection[[#This Row],[Joint Reporting]]="no", ISNUMBER(tblSelection[[#This Row],[Context A Complaints per 1,000]]),tblSelection[[#This Row],[Insurance &amp; pure protection]]&gt;0), "Yes", "No")</f>
        <v>Yes</v>
      </c>
      <c r="H62">
        <f>IF(tblSelection[[#This Row],[Eligible?]]="Yes",1+COUNTIFS(tblSelection[Eligible?],"Yes",tblSelection[Insurance &amp; pure protection],"&gt;"&amp;tblSelection[[#This Row],[Insurance &amp; pure protection]]),"")</f>
        <v>61</v>
      </c>
      <c r="I62" t="s">
        <v>420</v>
      </c>
    </row>
    <row r="63" spans="1:9" x14ac:dyDescent="0.35">
      <c r="A63" t="s">
        <v>206</v>
      </c>
      <c r="B63" t="s">
        <v>77</v>
      </c>
      <c r="C63" t="s">
        <v>63</v>
      </c>
      <c r="D63" t="s">
        <v>64</v>
      </c>
      <c r="E63">
        <v>582</v>
      </c>
      <c r="F63" s="9">
        <f>_xlfn.XLOOKUP(tblSelection[[#This Row],[Firm Name]],tblContext[Firm Name],tblContext[Insurance &amp; pure protection],"Not found",0)</f>
        <v>0.81</v>
      </c>
      <c r="G63" s="9" t="str">
        <f>IF(AND(tblSelection[[#This Row],[Reporting period]]="2025-07-01 to 2025-12-31", tblSelection[[#This Row],[Joint Reporting]]="no", ISNUMBER(tblSelection[[#This Row],[Context A Complaints per 1,000]]),tblSelection[[#This Row],[Insurance &amp; pure protection]]&gt;0), "Yes", "No")</f>
        <v>Yes</v>
      </c>
      <c r="H63">
        <f>IF(tblSelection[[#This Row],[Eligible?]]="Yes",1+COUNTIFS(tblSelection[Eligible?],"Yes",tblSelection[Insurance &amp; pure protection],"&gt;"&amp;tblSelection[[#This Row],[Insurance &amp; pure protection]]),"")</f>
        <v>62</v>
      </c>
      <c r="I63" t="s">
        <v>420</v>
      </c>
    </row>
    <row r="64" spans="1:9" x14ac:dyDescent="0.35">
      <c r="A64" t="s">
        <v>173</v>
      </c>
      <c r="B64" t="s">
        <v>174</v>
      </c>
      <c r="C64" t="s">
        <v>63</v>
      </c>
      <c r="D64" t="s">
        <v>64</v>
      </c>
      <c r="E64">
        <v>560</v>
      </c>
      <c r="F64" s="9">
        <f>_xlfn.XLOOKUP(tblSelection[[#This Row],[Firm Name]],tblContext[Firm Name],tblContext[Insurance &amp; pure protection],"Not found",0)</f>
        <v>17.64</v>
      </c>
      <c r="G64" s="9" t="str">
        <f>IF(AND(tblSelection[[#This Row],[Reporting period]]="2025-07-01 to 2025-12-31", tblSelection[[#This Row],[Joint Reporting]]="no", ISNUMBER(tblSelection[[#This Row],[Context A Complaints per 1,000]]),tblSelection[[#This Row],[Insurance &amp; pure protection]]&gt;0), "Yes", "No")</f>
        <v>Yes</v>
      </c>
      <c r="H64">
        <f>IF(tblSelection[[#This Row],[Eligible?]]="Yes",1+COUNTIFS(tblSelection[Eligible?],"Yes",tblSelection[Insurance &amp; pure protection],"&gt;"&amp;tblSelection[[#This Row],[Insurance &amp; pure protection]]),"")</f>
        <v>63</v>
      </c>
      <c r="I64" t="s">
        <v>420</v>
      </c>
    </row>
    <row r="65" spans="1:9" x14ac:dyDescent="0.35">
      <c r="A65" t="s">
        <v>328</v>
      </c>
      <c r="B65" t="s">
        <v>313</v>
      </c>
      <c r="C65" t="s">
        <v>63</v>
      </c>
      <c r="D65" t="s">
        <v>64</v>
      </c>
      <c r="E65">
        <v>557</v>
      </c>
      <c r="F65" s="9">
        <f>_xlfn.XLOOKUP(tblSelection[[#This Row],[Firm Name]],tblContext[Firm Name],tblContext[Insurance &amp; pure protection],"Not found",0)</f>
        <v>2.8</v>
      </c>
      <c r="G65" s="9" t="str">
        <f>IF(AND(tblSelection[[#This Row],[Reporting period]]="2025-07-01 to 2025-12-31", tblSelection[[#This Row],[Joint Reporting]]="no", ISNUMBER(tblSelection[[#This Row],[Context A Complaints per 1,000]]),tblSelection[[#This Row],[Insurance &amp; pure protection]]&gt;0), "Yes", "No")</f>
        <v>Yes</v>
      </c>
      <c r="H65">
        <f>IF(tblSelection[[#This Row],[Eligible?]]="Yes",1+COUNTIFS(tblSelection[Eligible?],"Yes",tblSelection[Insurance &amp; pure protection],"&gt;"&amp;tblSelection[[#This Row],[Insurance &amp; pure protection]]),"")</f>
        <v>64</v>
      </c>
      <c r="I65" t="s">
        <v>420</v>
      </c>
    </row>
    <row r="66" spans="1:9" x14ac:dyDescent="0.35">
      <c r="A66" t="s">
        <v>286</v>
      </c>
      <c r="B66" t="s">
        <v>287</v>
      </c>
      <c r="C66" t="s">
        <v>63</v>
      </c>
      <c r="D66" t="s">
        <v>64</v>
      </c>
      <c r="E66">
        <v>542</v>
      </c>
      <c r="F66" s="9">
        <f>_xlfn.XLOOKUP(tblSelection[[#This Row],[Firm Name]],tblContext[Firm Name],tblContext[Insurance &amp; pure protection],"Not found",0)</f>
        <v>0.98</v>
      </c>
      <c r="G66" s="9" t="str">
        <f>IF(AND(tblSelection[[#This Row],[Reporting period]]="2025-07-01 to 2025-12-31", tblSelection[[#This Row],[Joint Reporting]]="no", ISNUMBER(tblSelection[[#This Row],[Context A Complaints per 1,000]]),tblSelection[[#This Row],[Insurance &amp; pure protection]]&gt;0), "Yes", "No")</f>
        <v>Yes</v>
      </c>
      <c r="H66">
        <f>IF(tblSelection[[#This Row],[Eligible?]]="Yes",1+COUNTIFS(tblSelection[Eligible?],"Yes",tblSelection[Insurance &amp; pure protection],"&gt;"&amp;tblSelection[[#This Row],[Insurance &amp; pure protection]]),"")</f>
        <v>65</v>
      </c>
      <c r="I66" t="s">
        <v>420</v>
      </c>
    </row>
    <row r="67" spans="1:9" x14ac:dyDescent="0.35">
      <c r="A67" t="s">
        <v>243</v>
      </c>
      <c r="B67" t="s">
        <v>244</v>
      </c>
      <c r="C67" t="s">
        <v>63</v>
      </c>
      <c r="D67" t="s">
        <v>64</v>
      </c>
      <c r="E67">
        <v>417</v>
      </c>
      <c r="F67" s="9">
        <f>_xlfn.XLOOKUP(tblSelection[[#This Row],[Firm Name]],tblContext[Firm Name],tblContext[Insurance &amp; pure protection],"Not found",0)</f>
        <v>0.05</v>
      </c>
      <c r="G67" s="9" t="str">
        <f>IF(AND(tblSelection[[#This Row],[Reporting period]]="2025-07-01 to 2025-12-31", tblSelection[[#This Row],[Joint Reporting]]="no", ISNUMBER(tblSelection[[#This Row],[Context A Complaints per 1,000]]),tblSelection[[#This Row],[Insurance &amp; pure protection]]&gt;0), "Yes", "No")</f>
        <v>Yes</v>
      </c>
      <c r="H67">
        <f>IF(tblSelection[[#This Row],[Eligible?]]="Yes",1+COUNTIFS(tblSelection[Eligible?],"Yes",tblSelection[Insurance &amp; pure protection],"&gt;"&amp;tblSelection[[#This Row],[Insurance &amp; pure protection]]),"")</f>
        <v>66</v>
      </c>
      <c r="I67" t="s">
        <v>420</v>
      </c>
    </row>
    <row r="68" spans="1:9" x14ac:dyDescent="0.35">
      <c r="A68" t="s">
        <v>340</v>
      </c>
      <c r="B68" t="s">
        <v>77</v>
      </c>
      <c r="C68" t="s">
        <v>63</v>
      </c>
      <c r="D68" t="s">
        <v>64</v>
      </c>
      <c r="E68">
        <v>353</v>
      </c>
      <c r="F68" s="9">
        <f>_xlfn.XLOOKUP(tblSelection[[#This Row],[Firm Name]],tblContext[Firm Name],tblContext[Insurance &amp; pure protection],"Not found",0)</f>
        <v>0.35</v>
      </c>
      <c r="G68" s="9" t="str">
        <f>IF(AND(tblSelection[[#This Row],[Reporting period]]="2025-07-01 to 2025-12-31", tblSelection[[#This Row],[Joint Reporting]]="no", ISNUMBER(tblSelection[[#This Row],[Context A Complaints per 1,000]]),tblSelection[[#This Row],[Insurance &amp; pure protection]]&gt;0), "Yes", "No")</f>
        <v>Yes</v>
      </c>
      <c r="H68">
        <f>IF(tblSelection[[#This Row],[Eligible?]]="Yes",1+COUNTIFS(tblSelection[Eligible?],"Yes",tblSelection[Insurance &amp; pure protection],"&gt;"&amp;tblSelection[[#This Row],[Insurance &amp; pure protection]]),"")</f>
        <v>67</v>
      </c>
      <c r="I68" t="s">
        <v>420</v>
      </c>
    </row>
    <row r="69" spans="1:9" x14ac:dyDescent="0.35">
      <c r="A69" t="s">
        <v>327</v>
      </c>
      <c r="B69" t="s">
        <v>313</v>
      </c>
      <c r="C69" t="s">
        <v>63</v>
      </c>
      <c r="D69" t="s">
        <v>64</v>
      </c>
      <c r="E69">
        <v>315</v>
      </c>
      <c r="F69" s="9">
        <f>_xlfn.XLOOKUP(tblSelection[[#This Row],[Firm Name]],tblContext[Firm Name],tblContext[Insurance &amp; pure protection],"Not found",0)</f>
        <v>7.49</v>
      </c>
      <c r="G69" s="9" t="str">
        <f>IF(AND(tblSelection[[#This Row],[Reporting period]]="2025-07-01 to 2025-12-31", tblSelection[[#This Row],[Joint Reporting]]="no", ISNUMBER(tblSelection[[#This Row],[Context A Complaints per 1,000]]),tblSelection[[#This Row],[Insurance &amp; pure protection]]&gt;0), "Yes", "No")</f>
        <v>Yes</v>
      </c>
      <c r="H69">
        <f>IF(tblSelection[[#This Row],[Eligible?]]="Yes",1+COUNTIFS(tblSelection[Eligible?],"Yes",tblSelection[Insurance &amp; pure protection],"&gt;"&amp;tblSelection[[#This Row],[Insurance &amp; pure protection]]),"")</f>
        <v>68</v>
      </c>
      <c r="I69" t="s">
        <v>420</v>
      </c>
    </row>
    <row r="70" spans="1:9" x14ac:dyDescent="0.35">
      <c r="A70" t="s">
        <v>275</v>
      </c>
      <c r="B70" t="s">
        <v>135</v>
      </c>
      <c r="C70" t="s">
        <v>63</v>
      </c>
      <c r="D70" t="s">
        <v>64</v>
      </c>
      <c r="E70">
        <v>293</v>
      </c>
      <c r="F70" s="9">
        <f>_xlfn.XLOOKUP(tblSelection[[#This Row],[Firm Name]],tblContext[Firm Name],tblContext[Insurance &amp; pure protection],"Not found",0)</f>
        <v>0.45</v>
      </c>
      <c r="G70" s="9" t="str">
        <f>IF(AND(tblSelection[[#This Row],[Reporting period]]="2025-07-01 to 2025-12-31", tblSelection[[#This Row],[Joint Reporting]]="no", ISNUMBER(tblSelection[[#This Row],[Context A Complaints per 1,000]]),tblSelection[[#This Row],[Insurance &amp; pure protection]]&gt;0), "Yes", "No")</f>
        <v>Yes</v>
      </c>
      <c r="H70">
        <f>IF(tblSelection[[#This Row],[Eligible?]]="Yes",1+COUNTIFS(tblSelection[Eligible?],"Yes",tblSelection[Insurance &amp; pure protection],"&gt;"&amp;tblSelection[[#This Row],[Insurance &amp; pure protection]]),"")</f>
        <v>69</v>
      </c>
      <c r="I70" t="s">
        <v>420</v>
      </c>
    </row>
    <row r="71" spans="1:9" x14ac:dyDescent="0.35">
      <c r="A71" t="s">
        <v>312</v>
      </c>
      <c r="B71" t="s">
        <v>313</v>
      </c>
      <c r="C71" t="s">
        <v>63</v>
      </c>
      <c r="D71" t="s">
        <v>64</v>
      </c>
      <c r="E71">
        <v>269</v>
      </c>
      <c r="F71" s="9">
        <f>_xlfn.XLOOKUP(tblSelection[[#This Row],[Firm Name]],tblContext[Firm Name],tblContext[Insurance &amp; pure protection],"Not found",0)</f>
        <v>4.9800000000000004</v>
      </c>
      <c r="G71" s="9" t="str">
        <f>IF(AND(tblSelection[[#This Row],[Reporting period]]="2025-07-01 to 2025-12-31", tblSelection[[#This Row],[Joint Reporting]]="no", ISNUMBER(tblSelection[[#This Row],[Context A Complaints per 1,000]]),tblSelection[[#This Row],[Insurance &amp; pure protection]]&gt;0), "Yes", "No")</f>
        <v>Yes</v>
      </c>
      <c r="H71">
        <f>IF(tblSelection[[#This Row],[Eligible?]]="Yes",1+COUNTIFS(tblSelection[Eligible?],"Yes",tblSelection[Insurance &amp; pure protection],"&gt;"&amp;tblSelection[[#This Row],[Insurance &amp; pure protection]]),"")</f>
        <v>70</v>
      </c>
      <c r="I71" t="s">
        <v>420</v>
      </c>
    </row>
    <row r="72" spans="1:9" x14ac:dyDescent="0.35">
      <c r="A72" t="s">
        <v>177</v>
      </c>
      <c r="B72" t="s">
        <v>178</v>
      </c>
      <c r="C72" t="s">
        <v>63</v>
      </c>
      <c r="D72" t="s">
        <v>64</v>
      </c>
      <c r="E72">
        <v>253</v>
      </c>
      <c r="F72" s="9">
        <f>_xlfn.XLOOKUP(tblSelection[[#This Row],[Firm Name]],tblContext[Firm Name],tblContext[Insurance &amp; pure protection],"Not found",0)</f>
        <v>2.39</v>
      </c>
      <c r="G72" s="9" t="str">
        <f>IF(AND(tblSelection[[#This Row],[Reporting period]]="2025-07-01 to 2025-12-31", tblSelection[[#This Row],[Joint Reporting]]="no", ISNUMBER(tblSelection[[#This Row],[Context A Complaints per 1,000]]),tblSelection[[#This Row],[Insurance &amp; pure protection]]&gt;0), "Yes", "No")</f>
        <v>Yes</v>
      </c>
      <c r="H72">
        <f>IF(tblSelection[[#This Row],[Eligible?]]="Yes",1+COUNTIFS(tblSelection[Eligible?],"Yes",tblSelection[Insurance &amp; pure protection],"&gt;"&amp;tblSelection[[#This Row],[Insurance &amp; pure protection]]),"")</f>
        <v>71</v>
      </c>
      <c r="I72" t="s">
        <v>420</v>
      </c>
    </row>
    <row r="73" spans="1:9" x14ac:dyDescent="0.35">
      <c r="A73" t="s">
        <v>149</v>
      </c>
      <c r="B73" t="s">
        <v>150</v>
      </c>
      <c r="C73" t="s">
        <v>63</v>
      </c>
      <c r="D73" t="s">
        <v>64</v>
      </c>
      <c r="E73">
        <v>183</v>
      </c>
      <c r="F73" s="9">
        <f>_xlfn.XLOOKUP(tblSelection[[#This Row],[Firm Name]],tblContext[Firm Name],tblContext[Insurance &amp; pure protection],"Not found",0)</f>
        <v>7.0000000000000007E-2</v>
      </c>
      <c r="G73" s="9" t="str">
        <f>IF(AND(tblSelection[[#This Row],[Reporting period]]="2025-07-01 to 2025-12-31", tblSelection[[#This Row],[Joint Reporting]]="no", ISNUMBER(tblSelection[[#This Row],[Context A Complaints per 1,000]]),tblSelection[[#This Row],[Insurance &amp; pure protection]]&gt;0), "Yes", "No")</f>
        <v>Yes</v>
      </c>
      <c r="H73">
        <f>IF(tblSelection[[#This Row],[Eligible?]]="Yes",1+COUNTIFS(tblSelection[Eligible?],"Yes",tblSelection[Insurance &amp; pure protection],"&gt;"&amp;tblSelection[[#This Row],[Insurance &amp; pure protection]]),"")</f>
        <v>72</v>
      </c>
      <c r="I73" t="s">
        <v>420</v>
      </c>
    </row>
    <row r="74" spans="1:9" x14ac:dyDescent="0.35">
      <c r="A74" t="s">
        <v>134</v>
      </c>
      <c r="B74" t="s">
        <v>135</v>
      </c>
      <c r="C74" t="s">
        <v>63</v>
      </c>
      <c r="D74" t="s">
        <v>64</v>
      </c>
      <c r="E74">
        <v>171</v>
      </c>
      <c r="F74" s="9">
        <f>_xlfn.XLOOKUP(tblSelection[[#This Row],[Firm Name]],tblContext[Firm Name],tblContext[Insurance &amp; pure protection],"Not found",0)</f>
        <v>0.27</v>
      </c>
      <c r="G74" s="9" t="str">
        <f>IF(AND(tblSelection[[#This Row],[Reporting period]]="2025-07-01 to 2025-12-31", tblSelection[[#This Row],[Joint Reporting]]="no", ISNUMBER(tblSelection[[#This Row],[Context A Complaints per 1,000]]),tblSelection[[#This Row],[Insurance &amp; pure protection]]&gt;0), "Yes", "No")</f>
        <v>Yes</v>
      </c>
      <c r="H74">
        <f>IF(tblSelection[[#This Row],[Eligible?]]="Yes",1+COUNTIFS(tblSelection[Eligible?],"Yes",tblSelection[Insurance &amp; pure protection],"&gt;"&amp;tblSelection[[#This Row],[Insurance &amp; pure protection]]),"")</f>
        <v>73</v>
      </c>
      <c r="I74" t="s">
        <v>420</v>
      </c>
    </row>
    <row r="75" spans="1:9" x14ac:dyDescent="0.35">
      <c r="A75" t="s">
        <v>138</v>
      </c>
      <c r="B75" t="s">
        <v>137</v>
      </c>
      <c r="C75" t="s">
        <v>63</v>
      </c>
      <c r="D75" t="s">
        <v>64</v>
      </c>
      <c r="E75">
        <v>148</v>
      </c>
      <c r="F75" s="9">
        <f>_xlfn.XLOOKUP(tblSelection[[#This Row],[Firm Name]],tblContext[Firm Name],tblContext[Insurance &amp; pure protection],"Not found",0)</f>
        <v>0.68</v>
      </c>
      <c r="G75" s="9" t="str">
        <f>IF(AND(tblSelection[[#This Row],[Reporting period]]="2025-07-01 to 2025-12-31", tblSelection[[#This Row],[Joint Reporting]]="no", ISNUMBER(tblSelection[[#This Row],[Context A Complaints per 1,000]]),tblSelection[[#This Row],[Insurance &amp; pure protection]]&gt;0), "Yes", "No")</f>
        <v>Yes</v>
      </c>
      <c r="H75">
        <f>IF(tblSelection[[#This Row],[Eligible?]]="Yes",1+COUNTIFS(tblSelection[Eligible?],"Yes",tblSelection[Insurance &amp; pure protection],"&gt;"&amp;tblSelection[[#This Row],[Insurance &amp; pure protection]]),"")</f>
        <v>74</v>
      </c>
      <c r="I75" t="s">
        <v>420</v>
      </c>
    </row>
    <row r="76" spans="1:9" x14ac:dyDescent="0.35">
      <c r="A76" t="s">
        <v>94</v>
      </c>
      <c r="B76" t="s">
        <v>95</v>
      </c>
      <c r="C76" t="s">
        <v>63</v>
      </c>
      <c r="D76" t="s">
        <v>64</v>
      </c>
      <c r="E76" s="10">
        <v>106</v>
      </c>
      <c r="F76" s="9">
        <f>_xlfn.XLOOKUP(tblSelection[[#This Row],[Firm Name]],tblContext[Firm Name],tblContext[Insurance &amp; pure protection],"Not found",0)</f>
        <v>0.03</v>
      </c>
      <c r="G76" s="9" t="str">
        <f>IF(AND(tblSelection[[#This Row],[Reporting period]]="2025-07-01 to 2025-12-31", tblSelection[[#This Row],[Joint Reporting]]="no", ISNUMBER(tblSelection[[#This Row],[Context A Complaints per 1,000]]),tblSelection[[#This Row],[Insurance &amp; pure protection]]&gt;0), "Yes", "No")</f>
        <v>Yes</v>
      </c>
      <c r="H76">
        <f>IF(tblSelection[[#This Row],[Eligible?]]="Yes",1+COUNTIFS(tblSelection[Eligible?],"Yes",tblSelection[Insurance &amp; pure protection],"&gt;"&amp;tblSelection[[#This Row],[Insurance &amp; pure protection]]),"")</f>
        <v>75</v>
      </c>
      <c r="I76" t="s">
        <v>420</v>
      </c>
    </row>
    <row r="77" spans="1:9" x14ac:dyDescent="0.35">
      <c r="A77" t="s">
        <v>280</v>
      </c>
      <c r="B77" t="s">
        <v>244</v>
      </c>
      <c r="C77" t="s">
        <v>63</v>
      </c>
      <c r="D77" t="s">
        <v>64</v>
      </c>
      <c r="E77">
        <v>95</v>
      </c>
      <c r="F77" s="9">
        <f>_xlfn.XLOOKUP(tblSelection[[#This Row],[Firm Name]],tblContext[Firm Name],tblContext[Insurance &amp; pure protection],"Not found",0)</f>
        <v>0.13</v>
      </c>
      <c r="G77" s="9" t="str">
        <f>IF(AND(tblSelection[[#This Row],[Reporting period]]="2025-07-01 to 2025-12-31", tblSelection[[#This Row],[Joint Reporting]]="no", ISNUMBER(tblSelection[[#This Row],[Context A Complaints per 1,000]]),tblSelection[[#This Row],[Insurance &amp; pure protection]]&gt;0), "Yes", "No")</f>
        <v>Yes</v>
      </c>
      <c r="H77">
        <f>IF(tblSelection[[#This Row],[Eligible?]]="Yes",1+COUNTIFS(tblSelection[Eligible?],"Yes",tblSelection[Insurance &amp; pure protection],"&gt;"&amp;tblSelection[[#This Row],[Insurance &amp; pure protection]]),"")</f>
        <v>76</v>
      </c>
      <c r="I77" t="s">
        <v>420</v>
      </c>
    </row>
    <row r="78" spans="1:9" x14ac:dyDescent="0.35">
      <c r="A78" t="s">
        <v>337</v>
      </c>
      <c r="B78" t="s">
        <v>338</v>
      </c>
      <c r="C78" t="s">
        <v>63</v>
      </c>
      <c r="D78" t="s">
        <v>64</v>
      </c>
      <c r="E78">
        <v>95</v>
      </c>
      <c r="F78" s="9">
        <f>_xlfn.XLOOKUP(tblSelection[[#This Row],[Firm Name]],tblContext[Firm Name],tblContext[Insurance &amp; pure protection],"Not found",0)</f>
        <v>0.27</v>
      </c>
      <c r="G78" s="9" t="str">
        <f>IF(AND(tblSelection[[#This Row],[Reporting period]]="2025-07-01 to 2025-12-31", tblSelection[[#This Row],[Joint Reporting]]="no", ISNUMBER(tblSelection[[#This Row],[Context A Complaints per 1,000]]),tblSelection[[#This Row],[Insurance &amp; pure protection]]&gt;0), "Yes", "No")</f>
        <v>Yes</v>
      </c>
      <c r="H78">
        <f>IF(tblSelection[[#This Row],[Eligible?]]="Yes",1+COUNTIFS(tblSelection[Eligible?],"Yes",tblSelection[Insurance &amp; pure protection],"&gt;"&amp;tblSelection[[#This Row],[Insurance &amp; pure protection]]),"")</f>
        <v>76</v>
      </c>
      <c r="I78" t="s">
        <v>420</v>
      </c>
    </row>
    <row r="79" spans="1:9" x14ac:dyDescent="0.35">
      <c r="A79" t="s">
        <v>403</v>
      </c>
      <c r="B79" t="s">
        <v>77</v>
      </c>
      <c r="C79" t="s">
        <v>63</v>
      </c>
      <c r="D79" t="s">
        <v>64</v>
      </c>
      <c r="E79">
        <v>87</v>
      </c>
      <c r="F79" s="9">
        <f>_xlfn.XLOOKUP(tblSelection[[#This Row],[Firm Name]],tblContext[Firm Name],tblContext[Insurance &amp; pure protection],"Not found",0)</f>
        <v>0.12</v>
      </c>
      <c r="G79" s="9" t="str">
        <f>IF(AND(tblSelection[[#This Row],[Reporting period]]="2025-07-01 to 2025-12-31", tblSelection[[#This Row],[Joint Reporting]]="no", ISNUMBER(tblSelection[[#This Row],[Context A Complaints per 1,000]]),tblSelection[[#This Row],[Insurance &amp; pure protection]]&gt;0), "Yes", "No")</f>
        <v>Yes</v>
      </c>
      <c r="H79">
        <f>IF(tblSelection[[#This Row],[Eligible?]]="Yes",1+COUNTIFS(tblSelection[Eligible?],"Yes",tblSelection[Insurance &amp; pure protection],"&gt;"&amp;tblSelection[[#This Row],[Insurance &amp; pure protection]]),"")</f>
        <v>78</v>
      </c>
      <c r="I79" t="s">
        <v>420</v>
      </c>
    </row>
    <row r="80" spans="1:9" x14ac:dyDescent="0.35">
      <c r="A80" t="s">
        <v>293</v>
      </c>
      <c r="B80" t="s">
        <v>180</v>
      </c>
      <c r="C80" t="s">
        <v>63</v>
      </c>
      <c r="D80" t="s">
        <v>64</v>
      </c>
      <c r="E80">
        <v>77</v>
      </c>
      <c r="F80" s="9">
        <f>_xlfn.XLOOKUP(tblSelection[[#This Row],[Firm Name]],tblContext[Firm Name],tblContext[Insurance &amp; pure protection],"Not found",0)</f>
        <v>0</v>
      </c>
      <c r="G80" s="9" t="str">
        <f>IF(AND(tblSelection[[#This Row],[Reporting period]]="2025-07-01 to 2025-12-31", tblSelection[[#This Row],[Joint Reporting]]="no", ISNUMBER(tblSelection[[#This Row],[Context A Complaints per 1,000]]),tblSelection[[#This Row],[Insurance &amp; pure protection]]&gt;0), "Yes", "No")</f>
        <v>Yes</v>
      </c>
      <c r="H80">
        <f>IF(tblSelection[[#This Row],[Eligible?]]="Yes",1+COUNTIFS(tblSelection[Eligible?],"Yes",tblSelection[Insurance &amp; pure protection],"&gt;"&amp;tblSelection[[#This Row],[Insurance &amp; pure protection]]),"")</f>
        <v>79</v>
      </c>
      <c r="I80" t="s">
        <v>420</v>
      </c>
    </row>
    <row r="81" spans="1:9" x14ac:dyDescent="0.35">
      <c r="A81" t="s">
        <v>221</v>
      </c>
      <c r="B81" t="s">
        <v>222</v>
      </c>
      <c r="C81" t="s">
        <v>63</v>
      </c>
      <c r="D81" t="s">
        <v>64</v>
      </c>
      <c r="E81">
        <v>42</v>
      </c>
      <c r="F81" s="9">
        <f>_xlfn.XLOOKUP(tblSelection[[#This Row],[Firm Name]],tblContext[Firm Name],tblContext[Insurance &amp; pure protection],"Not found",0)</f>
        <v>0.98</v>
      </c>
      <c r="G81" s="9" t="str">
        <f>IF(AND(tblSelection[[#This Row],[Reporting period]]="2025-07-01 to 2025-12-31", tblSelection[[#This Row],[Joint Reporting]]="no", ISNUMBER(tblSelection[[#This Row],[Context A Complaints per 1,000]]),tblSelection[[#This Row],[Insurance &amp; pure protection]]&gt;0), "Yes", "No")</f>
        <v>Yes</v>
      </c>
      <c r="H81">
        <f>IF(tblSelection[[#This Row],[Eligible?]]="Yes",1+COUNTIFS(tblSelection[Eligible?],"Yes",tblSelection[Insurance &amp; pure protection],"&gt;"&amp;tblSelection[[#This Row],[Insurance &amp; pure protection]]),"")</f>
        <v>80</v>
      </c>
      <c r="I81" t="s">
        <v>420</v>
      </c>
    </row>
    <row r="82" spans="1:9" x14ac:dyDescent="0.35">
      <c r="A82" t="s">
        <v>380</v>
      </c>
      <c r="B82" t="s">
        <v>381</v>
      </c>
      <c r="C82" t="s">
        <v>63</v>
      </c>
      <c r="D82" t="s">
        <v>64</v>
      </c>
      <c r="E82">
        <v>28</v>
      </c>
      <c r="F82" s="9">
        <f>_xlfn.XLOOKUP(tblSelection[[#This Row],[Firm Name]],tblContext[Firm Name],tblContext[Insurance &amp; pure protection],"Not found",0)</f>
        <v>0</v>
      </c>
      <c r="G82" s="9" t="str">
        <f>IF(AND(tblSelection[[#This Row],[Reporting period]]="2025-07-01 to 2025-12-31", tblSelection[[#This Row],[Joint Reporting]]="no", ISNUMBER(tblSelection[[#This Row],[Context A Complaints per 1,000]]),tblSelection[[#This Row],[Insurance &amp; pure protection]]&gt;0), "Yes", "No")</f>
        <v>Yes</v>
      </c>
      <c r="H82">
        <f>IF(tblSelection[[#This Row],[Eligible?]]="Yes",1+COUNTIFS(tblSelection[Eligible?],"Yes",tblSelection[Insurance &amp; pure protection],"&gt;"&amp;tblSelection[[#This Row],[Insurance &amp; pure protection]]),"")</f>
        <v>81</v>
      </c>
      <c r="I82" t="s">
        <v>420</v>
      </c>
    </row>
    <row r="83" spans="1:9" x14ac:dyDescent="0.35">
      <c r="A83" t="s">
        <v>373</v>
      </c>
      <c r="B83" t="s">
        <v>180</v>
      </c>
      <c r="C83" t="s">
        <v>63</v>
      </c>
      <c r="D83" t="s">
        <v>64</v>
      </c>
      <c r="E83">
        <v>26</v>
      </c>
      <c r="F83" s="9">
        <f>_xlfn.XLOOKUP(tblSelection[[#This Row],[Firm Name]],tblContext[Firm Name],tblContext[Insurance &amp; pure protection],"Not found",0)</f>
        <v>0</v>
      </c>
      <c r="G83" s="9" t="str">
        <f>IF(AND(tblSelection[[#This Row],[Reporting period]]="2025-07-01 to 2025-12-31", tblSelection[[#This Row],[Joint Reporting]]="no", ISNUMBER(tblSelection[[#This Row],[Context A Complaints per 1,000]]),tblSelection[[#This Row],[Insurance &amp; pure protection]]&gt;0), "Yes", "No")</f>
        <v>Yes</v>
      </c>
      <c r="H83">
        <f>IF(tblSelection[[#This Row],[Eligible?]]="Yes",1+COUNTIFS(tblSelection[Eligible?],"Yes",tblSelection[Insurance &amp; pure protection],"&gt;"&amp;tblSelection[[#This Row],[Insurance &amp; pure protection]]),"")</f>
        <v>82</v>
      </c>
      <c r="I83" t="s">
        <v>420</v>
      </c>
    </row>
    <row r="84" spans="1:9" x14ac:dyDescent="0.35">
      <c r="A84" t="s">
        <v>282</v>
      </c>
      <c r="B84" t="s">
        <v>135</v>
      </c>
      <c r="C84" t="s">
        <v>63</v>
      </c>
      <c r="D84" t="s">
        <v>64</v>
      </c>
      <c r="E84">
        <v>22</v>
      </c>
      <c r="F84" s="9">
        <f>_xlfn.XLOOKUP(tblSelection[[#This Row],[Firm Name]],tblContext[Firm Name],tblContext[Insurance &amp; pure protection],"Not found",0)</f>
        <v>0</v>
      </c>
      <c r="G84" s="9" t="str">
        <f>IF(AND(tblSelection[[#This Row],[Reporting period]]="2025-07-01 to 2025-12-31", tblSelection[[#This Row],[Joint Reporting]]="no", ISNUMBER(tblSelection[[#This Row],[Context A Complaints per 1,000]]),tblSelection[[#This Row],[Insurance &amp; pure protection]]&gt;0), "Yes", "No")</f>
        <v>Yes</v>
      </c>
      <c r="H84">
        <f>IF(tblSelection[[#This Row],[Eligible?]]="Yes",1+COUNTIFS(tblSelection[Eligible?],"Yes",tblSelection[Insurance &amp; pure protection],"&gt;"&amp;tblSelection[[#This Row],[Insurance &amp; pure protection]]),"")</f>
        <v>83</v>
      </c>
      <c r="I84" t="s">
        <v>420</v>
      </c>
    </row>
    <row r="85" spans="1:9" x14ac:dyDescent="0.35">
      <c r="A85" t="s">
        <v>151</v>
      </c>
      <c r="B85" t="s">
        <v>152</v>
      </c>
      <c r="C85" t="s">
        <v>63</v>
      </c>
      <c r="D85" t="s">
        <v>64</v>
      </c>
      <c r="E85">
        <v>20</v>
      </c>
      <c r="F85" s="9">
        <f>_xlfn.XLOOKUP(tblSelection[[#This Row],[Firm Name]],tblContext[Firm Name],tblContext[Insurance &amp; pure protection],"Not found",0)</f>
        <v>0.01</v>
      </c>
      <c r="G85" s="9" t="str">
        <f>IF(AND(tblSelection[[#This Row],[Reporting period]]="2025-07-01 to 2025-12-31", tblSelection[[#This Row],[Joint Reporting]]="no", ISNUMBER(tblSelection[[#This Row],[Context A Complaints per 1,000]]),tblSelection[[#This Row],[Insurance &amp; pure protection]]&gt;0), "Yes", "No")</f>
        <v>Yes</v>
      </c>
      <c r="H85">
        <f>IF(tblSelection[[#This Row],[Eligible?]]="Yes",1+COUNTIFS(tblSelection[Eligible?],"Yes",tblSelection[Insurance &amp; pure protection],"&gt;"&amp;tblSelection[[#This Row],[Insurance &amp; pure protection]]),"")</f>
        <v>84</v>
      </c>
      <c r="I85" t="s">
        <v>420</v>
      </c>
    </row>
    <row r="86" spans="1:9" x14ac:dyDescent="0.35">
      <c r="A86" t="s">
        <v>179</v>
      </c>
      <c r="B86" t="s">
        <v>180</v>
      </c>
      <c r="C86" t="s">
        <v>63</v>
      </c>
      <c r="D86" t="s">
        <v>64</v>
      </c>
      <c r="E86">
        <v>13</v>
      </c>
      <c r="F86" s="9">
        <f>_xlfn.XLOOKUP(tblSelection[[#This Row],[Firm Name]],tblContext[Firm Name],tblContext[Insurance &amp; pure protection],"Not found",0)</f>
        <v>0.84</v>
      </c>
      <c r="G86" s="9" t="str">
        <f>IF(AND(tblSelection[[#This Row],[Reporting period]]="2025-07-01 to 2025-12-31", tblSelection[[#This Row],[Joint Reporting]]="no", ISNUMBER(tblSelection[[#This Row],[Context A Complaints per 1,000]]),tblSelection[[#This Row],[Insurance &amp; pure protection]]&gt;0), "Yes", "No")</f>
        <v>Yes</v>
      </c>
      <c r="H86">
        <f>IF(tblSelection[[#This Row],[Eligible?]]="Yes",1+COUNTIFS(tblSelection[Eligible?],"Yes",tblSelection[Insurance &amp; pure protection],"&gt;"&amp;tblSelection[[#This Row],[Insurance &amp; pure protection]]),"")</f>
        <v>85</v>
      </c>
      <c r="I86" t="s">
        <v>420</v>
      </c>
    </row>
    <row r="87" spans="1:9" x14ac:dyDescent="0.35">
      <c r="A87" t="s">
        <v>339</v>
      </c>
      <c r="B87" t="s">
        <v>172</v>
      </c>
      <c r="C87" t="s">
        <v>63</v>
      </c>
      <c r="D87" t="s">
        <v>64</v>
      </c>
      <c r="E87">
        <v>11</v>
      </c>
      <c r="F87" s="9">
        <f>_xlfn.XLOOKUP(tblSelection[[#This Row],[Firm Name]],tblContext[Firm Name],tblContext[Insurance &amp; pure protection],"Not found",0)</f>
        <v>2.88</v>
      </c>
      <c r="G87" s="9" t="str">
        <f>IF(AND(tblSelection[[#This Row],[Reporting period]]="2025-07-01 to 2025-12-31", tblSelection[[#This Row],[Joint Reporting]]="no", ISNUMBER(tblSelection[[#This Row],[Context A Complaints per 1,000]]),tblSelection[[#This Row],[Insurance &amp; pure protection]]&gt;0), "Yes", "No")</f>
        <v>Yes</v>
      </c>
      <c r="H87">
        <f>IF(tblSelection[[#This Row],[Eligible?]]="Yes",1+COUNTIFS(tblSelection[Eligible?],"Yes",tblSelection[Insurance &amp; pure protection],"&gt;"&amp;tblSelection[[#This Row],[Insurance &amp; pure protection]]),"")</f>
        <v>86</v>
      </c>
      <c r="I87" t="s">
        <v>420</v>
      </c>
    </row>
    <row r="88" spans="1:9" x14ac:dyDescent="0.35">
      <c r="A88" t="s">
        <v>407</v>
      </c>
      <c r="B88" t="s">
        <v>77</v>
      </c>
      <c r="C88" t="s">
        <v>63</v>
      </c>
      <c r="D88" t="s">
        <v>64</v>
      </c>
      <c r="E88">
        <v>9</v>
      </c>
      <c r="F88" s="9">
        <f>_xlfn.XLOOKUP(tblSelection[[#This Row],[Firm Name]],tblContext[Firm Name],tblContext[Insurance &amp; pure protection],"Not found",0)</f>
        <v>0.25</v>
      </c>
      <c r="G88" s="9" t="str">
        <f>IF(AND(tblSelection[[#This Row],[Reporting period]]="2025-07-01 to 2025-12-31", tblSelection[[#This Row],[Joint Reporting]]="no", ISNUMBER(tblSelection[[#This Row],[Context A Complaints per 1,000]]),tblSelection[[#This Row],[Insurance &amp; pure protection]]&gt;0), "Yes", "No")</f>
        <v>Yes</v>
      </c>
      <c r="H88">
        <f>IF(tblSelection[[#This Row],[Eligible?]]="Yes",1+COUNTIFS(tblSelection[Eligible?],"Yes",tblSelection[Insurance &amp; pure protection],"&gt;"&amp;tblSelection[[#This Row],[Insurance &amp; pure protection]]),"")</f>
        <v>87</v>
      </c>
      <c r="I88" t="s">
        <v>420</v>
      </c>
    </row>
    <row r="89" spans="1:9" x14ac:dyDescent="0.35">
      <c r="A89" t="s">
        <v>354</v>
      </c>
      <c r="B89" t="s">
        <v>355</v>
      </c>
      <c r="C89" t="s">
        <v>63</v>
      </c>
      <c r="D89" t="s">
        <v>64</v>
      </c>
      <c r="E89">
        <v>3</v>
      </c>
      <c r="F89" s="9">
        <f>_xlfn.XLOOKUP(tblSelection[[#This Row],[Firm Name]],tblContext[Firm Name],tblContext[Insurance &amp; pure protection],"Not found",0)</f>
        <v>0.35</v>
      </c>
      <c r="G89" s="9" t="str">
        <f>IF(AND(tblSelection[[#This Row],[Reporting period]]="2025-07-01 to 2025-12-31", tblSelection[[#This Row],[Joint Reporting]]="no", ISNUMBER(tblSelection[[#This Row],[Context A Complaints per 1,000]]),tblSelection[[#This Row],[Insurance &amp; pure protection]]&gt;0), "Yes", "No")</f>
        <v>Yes</v>
      </c>
      <c r="H89">
        <f>IF(tblSelection[[#This Row],[Eligible?]]="Yes",1+COUNTIFS(tblSelection[Eligible?],"Yes",tblSelection[Insurance &amp; pure protection],"&gt;"&amp;tblSelection[[#This Row],[Insurance &amp; pure protection]]),"")</f>
        <v>88</v>
      </c>
      <c r="I89" t="s">
        <v>420</v>
      </c>
    </row>
    <row r="90" spans="1:9" x14ac:dyDescent="0.35">
      <c r="A90" t="s">
        <v>316</v>
      </c>
      <c r="B90" t="s">
        <v>77</v>
      </c>
      <c r="C90" t="s">
        <v>63</v>
      </c>
      <c r="D90" t="s">
        <v>64</v>
      </c>
      <c r="E90">
        <v>2</v>
      </c>
      <c r="F90" s="9">
        <f>_xlfn.XLOOKUP(tblSelection[[#This Row],[Firm Name]],tblContext[Firm Name],tblContext[Insurance &amp; pure protection],"Not found",0)</f>
        <v>0</v>
      </c>
      <c r="G90" s="9" t="str">
        <f>IF(AND(tblSelection[[#This Row],[Reporting period]]="2025-07-01 to 2025-12-31", tblSelection[[#This Row],[Joint Reporting]]="no", ISNUMBER(tblSelection[[#This Row],[Context A Complaints per 1,000]]),tblSelection[[#This Row],[Insurance &amp; pure protection]]&gt;0), "Yes", "No")</f>
        <v>Yes</v>
      </c>
      <c r="H90">
        <f>IF(tblSelection[[#This Row],[Eligible?]]="Yes",1+COUNTIFS(tblSelection[Eligible?],"Yes",tblSelection[Insurance &amp; pure protection],"&gt;"&amp;tblSelection[[#This Row],[Insurance &amp; pure protection]]),"")</f>
        <v>89</v>
      </c>
      <c r="I90" t="s">
        <v>420</v>
      </c>
    </row>
    <row r="91" spans="1:9" x14ac:dyDescent="0.35">
      <c r="A91" t="s">
        <v>136</v>
      </c>
      <c r="B91" t="s">
        <v>137</v>
      </c>
      <c r="C91" t="s">
        <v>63</v>
      </c>
      <c r="D91" t="s">
        <v>64</v>
      </c>
      <c r="E91">
        <v>1</v>
      </c>
      <c r="F91" s="9">
        <f>_xlfn.XLOOKUP(tblSelection[[#This Row],[Firm Name]],tblContext[Firm Name],tblContext[Insurance &amp; pure protection],"Not found",0)</f>
        <v>0</v>
      </c>
      <c r="G91" s="9" t="str">
        <f>IF(AND(tblSelection[[#This Row],[Reporting period]]="2025-07-01 to 2025-12-31", tblSelection[[#This Row],[Joint Reporting]]="no", ISNUMBER(tblSelection[[#This Row],[Context A Complaints per 1,000]]),tblSelection[[#This Row],[Insurance &amp; pure protection]]&gt;0), "Yes", "No")</f>
        <v>Yes</v>
      </c>
      <c r="H91">
        <f>IF(tblSelection[[#This Row],[Eligible?]]="Yes",1+COUNTIFS(tblSelection[Eligible?],"Yes",tblSelection[Insurance &amp; pure protection],"&gt;"&amp;tblSelection[[#This Row],[Insurance &amp; pure protection]]),"")</f>
        <v>90</v>
      </c>
      <c r="I91" t="s">
        <v>420</v>
      </c>
    </row>
    <row r="92" spans="1:9" x14ac:dyDescent="0.35">
      <c r="A92" t="s">
        <v>369</v>
      </c>
      <c r="B92" t="s">
        <v>184</v>
      </c>
      <c r="C92" t="s">
        <v>63</v>
      </c>
      <c r="D92" t="s">
        <v>64</v>
      </c>
      <c r="E92">
        <v>1</v>
      </c>
      <c r="F92" s="9">
        <f>_xlfn.XLOOKUP(tblSelection[[#This Row],[Firm Name]],tblContext[Firm Name],tblContext[Insurance &amp; pure protection],"Not found",0)</f>
        <v>0</v>
      </c>
      <c r="G92" s="9" t="str">
        <f>IF(AND(tblSelection[[#This Row],[Reporting period]]="2025-07-01 to 2025-12-31", tblSelection[[#This Row],[Joint Reporting]]="no", ISNUMBER(tblSelection[[#This Row],[Context A Complaints per 1,000]]),tblSelection[[#This Row],[Insurance &amp; pure protection]]&gt;0), "Yes", "No")</f>
        <v>Yes</v>
      </c>
      <c r="H92">
        <f>IF(tblSelection[[#This Row],[Eligible?]]="Yes",1+COUNTIFS(tblSelection[Eligible?],"Yes",tblSelection[Insurance &amp; pure protection],"&gt;"&amp;tblSelection[[#This Row],[Insurance &amp; pure protection]]),"")</f>
        <v>90</v>
      </c>
      <c r="I92" t="s">
        <v>420</v>
      </c>
    </row>
    <row r="93" spans="1:9" x14ac:dyDescent="0.35">
      <c r="A93" t="s">
        <v>61</v>
      </c>
      <c r="B93" t="s">
        <v>62</v>
      </c>
      <c r="C93" t="s">
        <v>63</v>
      </c>
      <c r="D93" t="s">
        <v>64</v>
      </c>
      <c r="E93" s="10"/>
      <c r="F93" s="9">
        <f>_xlfn.XLOOKUP(tblSelection[[#This Row],[Firm Name]],tblContext[Firm Name],tblContext[Insurance &amp; pure protection],"Not found",0)</f>
        <v>0</v>
      </c>
      <c r="G93" s="9" t="str">
        <f>IF(AND(tblSelection[[#This Row],[Reporting period]]="2025-07-01 to 2025-12-31", tblSelection[[#This Row],[Joint Reporting]]="no", ISNUMBER(tblSelection[[#This Row],[Context A Complaints per 1,000]]),tblSelection[[#This Row],[Insurance &amp; pure protection]]&gt;0), "Yes", "No")</f>
        <v>No</v>
      </c>
      <c r="H93" t="str">
        <f>IF(tblSelection[[#This Row],[Eligible?]]="Yes",1+COUNTIFS(tblSelection[Eligible?],"Yes",tblSelection[Insurance &amp; pure protection],"&gt;"&amp;tblSelection[[#This Row],[Insurance &amp; pure protection]]),"")</f>
        <v/>
      </c>
      <c r="I93" t="s">
        <v>420</v>
      </c>
    </row>
    <row r="94" spans="1:9" x14ac:dyDescent="0.35">
      <c r="A94" t="s">
        <v>74</v>
      </c>
      <c r="B94" t="s">
        <v>75</v>
      </c>
      <c r="C94" t="s">
        <v>63</v>
      </c>
      <c r="D94" t="s">
        <v>64</v>
      </c>
      <c r="F94" s="9" t="str">
        <f>_xlfn.XLOOKUP(tblSelection[[#This Row],[Firm Name]],tblContext[Firm Name],tblContext[Insurance &amp; pure protection],"Not found",0)</f>
        <v>Not found</v>
      </c>
      <c r="G94" s="9" t="str">
        <f>IF(AND(tblSelection[[#This Row],[Reporting period]]="2025-07-01 to 2025-12-31", tblSelection[[#This Row],[Joint Reporting]]="no", ISNUMBER(tblSelection[[#This Row],[Context A Complaints per 1,000]]),tblSelection[[#This Row],[Insurance &amp; pure protection]]&gt;0), "Yes", "No")</f>
        <v>No</v>
      </c>
      <c r="H94" t="str">
        <f>IF(tblSelection[[#This Row],[Eligible?]]="Yes",1+COUNTIFS(tblSelection[Eligible?],"Yes",tblSelection[Insurance &amp; pure protection],"&gt;"&amp;tblSelection[[#This Row],[Insurance &amp; pure protection]]),"")</f>
        <v/>
      </c>
      <c r="I94" t="s">
        <v>420</v>
      </c>
    </row>
    <row r="95" spans="1:9" x14ac:dyDescent="0.35">
      <c r="A95" t="s">
        <v>79</v>
      </c>
      <c r="B95" t="s">
        <v>80</v>
      </c>
      <c r="C95" t="s">
        <v>63</v>
      </c>
      <c r="D95" t="s">
        <v>64</v>
      </c>
      <c r="E95">
        <v>651</v>
      </c>
      <c r="F95" s="9" t="str">
        <f>_xlfn.XLOOKUP(tblSelection[[#This Row],[Firm Name]],tblContext[Firm Name],tblContext[Insurance &amp; pure protection],"Not found",0)</f>
        <v>Not found</v>
      </c>
      <c r="G95" s="9" t="str">
        <f>IF(AND(tblSelection[[#This Row],[Reporting period]]="2025-07-01 to 2025-12-31", tblSelection[[#This Row],[Joint Reporting]]="no", ISNUMBER(tblSelection[[#This Row],[Context A Complaints per 1,000]]),tblSelection[[#This Row],[Insurance &amp; pure protection]]&gt;0), "Yes", "No")</f>
        <v>No</v>
      </c>
      <c r="H95" t="str">
        <f>IF(tblSelection[[#This Row],[Eligible?]]="Yes",1+COUNTIFS(tblSelection[Eligible?],"Yes",tblSelection[Insurance &amp; pure protection],"&gt;"&amp;tblSelection[[#This Row],[Insurance &amp; pure protection]]),"")</f>
        <v/>
      </c>
      <c r="I95" t="s">
        <v>420</v>
      </c>
    </row>
    <row r="96" spans="1:9" x14ac:dyDescent="0.35">
      <c r="A96" t="s">
        <v>90</v>
      </c>
      <c r="B96" t="s">
        <v>91</v>
      </c>
      <c r="C96" t="s">
        <v>63</v>
      </c>
      <c r="D96" t="s">
        <v>64</v>
      </c>
      <c r="F96" s="9">
        <f>_xlfn.XLOOKUP(tblSelection[[#This Row],[Firm Name]],tblContext[Firm Name],tblContext[Insurance &amp; pure protection],"Not found",0)</f>
        <v>0</v>
      </c>
      <c r="G96" s="9" t="str">
        <f>IF(AND(tblSelection[[#This Row],[Reporting period]]="2025-07-01 to 2025-12-31", tblSelection[[#This Row],[Joint Reporting]]="no", ISNUMBER(tblSelection[[#This Row],[Context A Complaints per 1,000]]),tblSelection[[#This Row],[Insurance &amp; pure protection]]&gt;0), "Yes", "No")</f>
        <v>No</v>
      </c>
      <c r="H96" t="str">
        <f>IF(tblSelection[[#This Row],[Eligible?]]="Yes",1+COUNTIFS(tblSelection[Eligible?],"Yes",tblSelection[Insurance &amp; pure protection],"&gt;"&amp;tblSelection[[#This Row],[Insurance &amp; pure protection]]),"")</f>
        <v/>
      </c>
      <c r="I96" t="s">
        <v>420</v>
      </c>
    </row>
    <row r="97" spans="1:9" x14ac:dyDescent="0.35">
      <c r="A97" t="s">
        <v>100</v>
      </c>
      <c r="B97" t="s">
        <v>77</v>
      </c>
      <c r="C97" t="s">
        <v>63</v>
      </c>
      <c r="D97" t="s">
        <v>64</v>
      </c>
      <c r="E97" s="10">
        <v>3482</v>
      </c>
      <c r="F97" s="9" t="str">
        <f>_xlfn.XLOOKUP(tblSelection[[#This Row],[Firm Name]],tblContext[Firm Name],tblContext[Insurance &amp; pure protection],"Not found",0)</f>
        <v>Not found</v>
      </c>
      <c r="G97" s="9" t="str">
        <f>IF(AND(tblSelection[[#This Row],[Reporting period]]="2025-07-01 to 2025-12-31", tblSelection[[#This Row],[Joint Reporting]]="no", ISNUMBER(tblSelection[[#This Row],[Context A Complaints per 1,000]]),tblSelection[[#This Row],[Insurance &amp; pure protection]]&gt;0), "Yes", "No")</f>
        <v>No</v>
      </c>
      <c r="H97" t="str">
        <f>IF(tblSelection[[#This Row],[Eligible?]]="Yes",1+COUNTIFS(tblSelection[Eligible?],"Yes",tblSelection[Insurance &amp; pure protection],"&gt;"&amp;tblSelection[[#This Row],[Insurance &amp; pure protection]]),"")</f>
        <v/>
      </c>
      <c r="I97" t="s">
        <v>420</v>
      </c>
    </row>
    <row r="98" spans="1:9" x14ac:dyDescent="0.35">
      <c r="A98" t="s">
        <v>121</v>
      </c>
      <c r="B98" t="s">
        <v>122</v>
      </c>
      <c r="C98" t="s">
        <v>63</v>
      </c>
      <c r="D98" t="s">
        <v>64</v>
      </c>
      <c r="E98" s="10">
        <v>1236</v>
      </c>
      <c r="F98" s="9" t="str">
        <f>_xlfn.XLOOKUP(tblSelection[[#This Row],[Firm Name]],tblContext[Firm Name],tblContext[Insurance &amp; pure protection],"Not found",0)</f>
        <v>Not found</v>
      </c>
      <c r="G98" s="9" t="str">
        <f>IF(AND(tblSelection[[#This Row],[Reporting period]]="2025-07-01 to 2025-12-31", tblSelection[[#This Row],[Joint Reporting]]="no", ISNUMBER(tblSelection[[#This Row],[Context A Complaints per 1,000]]),tblSelection[[#This Row],[Insurance &amp; pure protection]]&gt;0), "Yes", "No")</f>
        <v>No</v>
      </c>
      <c r="H98" t="str">
        <f>IF(tblSelection[[#This Row],[Eligible?]]="Yes",1+COUNTIFS(tblSelection[Eligible?],"Yes",tblSelection[Insurance &amp; pure protection],"&gt;"&amp;tblSelection[[#This Row],[Insurance &amp; pure protection]]),"")</f>
        <v/>
      </c>
      <c r="I98" t="s">
        <v>420</v>
      </c>
    </row>
    <row r="99" spans="1:9" x14ac:dyDescent="0.35">
      <c r="A99" t="s">
        <v>144</v>
      </c>
      <c r="B99" t="s">
        <v>145</v>
      </c>
      <c r="C99" t="s">
        <v>63</v>
      </c>
      <c r="D99" t="s">
        <v>64</v>
      </c>
      <c r="F99" s="9" t="str">
        <f>_xlfn.XLOOKUP(tblSelection[[#This Row],[Firm Name]],tblContext[Firm Name],tblContext[Insurance &amp; pure protection],"Not found",0)</f>
        <v>Not found</v>
      </c>
      <c r="G99" s="9" t="str">
        <f>IF(AND(tblSelection[[#This Row],[Reporting period]]="2025-07-01 to 2025-12-31", tblSelection[[#This Row],[Joint Reporting]]="no", ISNUMBER(tblSelection[[#This Row],[Context A Complaints per 1,000]]),tblSelection[[#This Row],[Insurance &amp; pure protection]]&gt;0), "Yes", "No")</f>
        <v>No</v>
      </c>
      <c r="H99" t="str">
        <f>IF(tblSelection[[#This Row],[Eligible?]]="Yes",1+COUNTIFS(tblSelection[Eligible?],"Yes",tblSelection[Insurance &amp; pure protection],"&gt;"&amp;tblSelection[[#This Row],[Insurance &amp; pure protection]]),"")</f>
        <v/>
      </c>
      <c r="I99" t="s">
        <v>420</v>
      </c>
    </row>
    <row r="100" spans="1:9" x14ac:dyDescent="0.35">
      <c r="A100" t="s">
        <v>154</v>
      </c>
      <c r="B100" t="s">
        <v>155</v>
      </c>
      <c r="C100" t="s">
        <v>63</v>
      </c>
      <c r="D100" t="s">
        <v>64</v>
      </c>
      <c r="E100">
        <v>199</v>
      </c>
      <c r="F100" s="9" t="str">
        <f>_xlfn.XLOOKUP(tblSelection[[#This Row],[Firm Name]],tblContext[Firm Name],tblContext[Insurance &amp; pure protection],"Not found",0)</f>
        <v>Not found</v>
      </c>
      <c r="G100" s="9" t="str">
        <f>IF(AND(tblSelection[[#This Row],[Reporting period]]="2025-07-01 to 2025-12-31", tblSelection[[#This Row],[Joint Reporting]]="no", ISNUMBER(tblSelection[[#This Row],[Context A Complaints per 1,000]]),tblSelection[[#This Row],[Insurance &amp; pure protection]]&gt;0), "Yes", "No")</f>
        <v>No</v>
      </c>
      <c r="H100" t="str">
        <f>IF(tblSelection[[#This Row],[Eligible?]]="Yes",1+COUNTIFS(tblSelection[Eligible?],"Yes",tblSelection[Insurance &amp; pure protection],"&gt;"&amp;tblSelection[[#This Row],[Insurance &amp; pure protection]]),"")</f>
        <v/>
      </c>
      <c r="I100" t="s">
        <v>420</v>
      </c>
    </row>
    <row r="101" spans="1:9" x14ac:dyDescent="0.35">
      <c r="A101" t="s">
        <v>161</v>
      </c>
      <c r="B101" t="s">
        <v>162</v>
      </c>
      <c r="C101" t="s">
        <v>63</v>
      </c>
      <c r="D101" t="s">
        <v>64</v>
      </c>
      <c r="F101" s="9">
        <f>_xlfn.XLOOKUP(tblSelection[[#This Row],[Firm Name]],tblContext[Firm Name],tblContext[Insurance &amp; pure protection],"Not found",0)</f>
        <v>0</v>
      </c>
      <c r="G101" s="9" t="str">
        <f>IF(AND(tblSelection[[#This Row],[Reporting period]]="2025-07-01 to 2025-12-31", tblSelection[[#This Row],[Joint Reporting]]="no", ISNUMBER(tblSelection[[#This Row],[Context A Complaints per 1,000]]),tblSelection[[#This Row],[Insurance &amp; pure protection]]&gt;0), "Yes", "No")</f>
        <v>No</v>
      </c>
      <c r="H101" t="str">
        <f>IF(tblSelection[[#This Row],[Eligible?]]="Yes",1+COUNTIFS(tblSelection[Eligible?],"Yes",tblSelection[Insurance &amp; pure protection],"&gt;"&amp;tblSelection[[#This Row],[Insurance &amp; pure protection]]),"")</f>
        <v/>
      </c>
      <c r="I101" t="s">
        <v>420</v>
      </c>
    </row>
    <row r="102" spans="1:9" x14ac:dyDescent="0.35">
      <c r="A102" t="s">
        <v>163</v>
      </c>
      <c r="B102" t="s">
        <v>164</v>
      </c>
      <c r="C102" t="s">
        <v>63</v>
      </c>
      <c r="D102" t="s">
        <v>64</v>
      </c>
      <c r="E102" s="10">
        <v>4417</v>
      </c>
      <c r="F102" s="9" t="str">
        <f>_xlfn.XLOOKUP(tblSelection[[#This Row],[Firm Name]],tblContext[Firm Name],tblContext[Insurance &amp; pure protection],"Not found",0)</f>
        <v>Not found</v>
      </c>
      <c r="G102" s="9" t="str">
        <f>IF(AND(tblSelection[[#This Row],[Reporting period]]="2025-07-01 to 2025-12-31", tblSelection[[#This Row],[Joint Reporting]]="no", ISNUMBER(tblSelection[[#This Row],[Context A Complaints per 1,000]]),tblSelection[[#This Row],[Insurance &amp; pure protection]]&gt;0), "Yes", "No")</f>
        <v>No</v>
      </c>
      <c r="H102" t="str">
        <f>IF(tblSelection[[#This Row],[Eligible?]]="Yes",1+COUNTIFS(tblSelection[Eligible?],"Yes",tblSelection[Insurance &amp; pure protection],"&gt;"&amp;tblSelection[[#This Row],[Insurance &amp; pure protection]]),"")</f>
        <v/>
      </c>
      <c r="I102" t="s">
        <v>420</v>
      </c>
    </row>
    <row r="103" spans="1:9" x14ac:dyDescent="0.35">
      <c r="A103" t="s">
        <v>165</v>
      </c>
      <c r="B103" t="s">
        <v>166</v>
      </c>
      <c r="C103" t="s">
        <v>63</v>
      </c>
      <c r="D103" t="s">
        <v>64</v>
      </c>
      <c r="F103" s="9">
        <f>_xlfn.XLOOKUP(tblSelection[[#This Row],[Firm Name]],tblContext[Firm Name],tblContext[Insurance &amp; pure protection],"Not found",0)</f>
        <v>0</v>
      </c>
      <c r="G103" s="9" t="str">
        <f>IF(AND(tblSelection[[#This Row],[Reporting period]]="2025-07-01 to 2025-12-31", tblSelection[[#This Row],[Joint Reporting]]="no", ISNUMBER(tblSelection[[#This Row],[Context A Complaints per 1,000]]),tblSelection[[#This Row],[Insurance &amp; pure protection]]&gt;0), "Yes", "No")</f>
        <v>No</v>
      </c>
      <c r="H103" t="str">
        <f>IF(tblSelection[[#This Row],[Eligible?]]="Yes",1+COUNTIFS(tblSelection[Eligible?],"Yes",tblSelection[Insurance &amp; pure protection],"&gt;"&amp;tblSelection[[#This Row],[Insurance &amp; pure protection]]),"")</f>
        <v/>
      </c>
      <c r="I103" t="s">
        <v>420</v>
      </c>
    </row>
    <row r="104" spans="1:9" x14ac:dyDescent="0.35">
      <c r="A104" t="s">
        <v>175</v>
      </c>
      <c r="B104" t="s">
        <v>176</v>
      </c>
      <c r="C104" t="s">
        <v>63</v>
      </c>
      <c r="D104" t="s">
        <v>64</v>
      </c>
      <c r="E104">
        <v>130</v>
      </c>
      <c r="F104" s="9" t="str">
        <f>_xlfn.XLOOKUP(tblSelection[[#This Row],[Firm Name]],tblContext[Firm Name],tblContext[Insurance &amp; pure protection],"Not found",0)</f>
        <v>Not found</v>
      </c>
      <c r="G104" s="9" t="str">
        <f>IF(AND(tblSelection[[#This Row],[Reporting period]]="2025-07-01 to 2025-12-31", tblSelection[[#This Row],[Joint Reporting]]="no", ISNUMBER(tblSelection[[#This Row],[Context A Complaints per 1,000]]),tblSelection[[#This Row],[Insurance &amp; pure protection]]&gt;0), "Yes", "No")</f>
        <v>No</v>
      </c>
      <c r="H104" t="str">
        <f>IF(tblSelection[[#This Row],[Eligible?]]="Yes",1+COUNTIFS(tblSelection[Eligible?],"Yes",tblSelection[Insurance &amp; pure protection],"&gt;"&amp;tblSelection[[#This Row],[Insurance &amp; pure protection]]),"")</f>
        <v/>
      </c>
      <c r="I104" t="s">
        <v>420</v>
      </c>
    </row>
    <row r="105" spans="1:9" x14ac:dyDescent="0.35">
      <c r="A105" t="s">
        <v>185</v>
      </c>
      <c r="B105" t="s">
        <v>186</v>
      </c>
      <c r="C105" t="s">
        <v>63</v>
      </c>
      <c r="D105" t="s">
        <v>64</v>
      </c>
      <c r="F105" s="9">
        <f>_xlfn.XLOOKUP(tblSelection[[#This Row],[Firm Name]],tblContext[Firm Name],tblContext[Insurance &amp; pure protection],"Not found",0)</f>
        <v>0</v>
      </c>
      <c r="G105" s="9" t="str">
        <f>IF(AND(tblSelection[[#This Row],[Reporting period]]="2025-07-01 to 2025-12-31", tblSelection[[#This Row],[Joint Reporting]]="no", ISNUMBER(tblSelection[[#This Row],[Context A Complaints per 1,000]]),tblSelection[[#This Row],[Insurance &amp; pure protection]]&gt;0), "Yes", "No")</f>
        <v>No</v>
      </c>
      <c r="H105" t="str">
        <f>IF(tblSelection[[#This Row],[Eligible?]]="Yes",1+COUNTIFS(tblSelection[Eligible?],"Yes",tblSelection[Insurance &amp; pure protection],"&gt;"&amp;tblSelection[[#This Row],[Insurance &amp; pure protection]]),"")</f>
        <v/>
      </c>
      <c r="I105" t="s">
        <v>420</v>
      </c>
    </row>
    <row r="106" spans="1:9" x14ac:dyDescent="0.35">
      <c r="A106" t="s">
        <v>187</v>
      </c>
      <c r="B106" t="s">
        <v>188</v>
      </c>
      <c r="C106" t="s">
        <v>63</v>
      </c>
      <c r="D106" t="s">
        <v>64</v>
      </c>
      <c r="F106" s="9">
        <f>_xlfn.XLOOKUP(tblSelection[[#This Row],[Firm Name]],tblContext[Firm Name],tblContext[Insurance &amp; pure protection],"Not found",0)</f>
        <v>0</v>
      </c>
      <c r="G106" s="9" t="str">
        <f>IF(AND(tblSelection[[#This Row],[Reporting period]]="2025-07-01 to 2025-12-31", tblSelection[[#This Row],[Joint Reporting]]="no", ISNUMBER(tblSelection[[#This Row],[Context A Complaints per 1,000]]),tblSelection[[#This Row],[Insurance &amp; pure protection]]&gt;0), "Yes", "No")</f>
        <v>No</v>
      </c>
      <c r="H106" t="str">
        <f>IF(tblSelection[[#This Row],[Eligible?]]="Yes",1+COUNTIFS(tblSelection[Eligible?],"Yes",tblSelection[Insurance &amp; pure protection],"&gt;"&amp;tblSelection[[#This Row],[Insurance &amp; pure protection]]),"")</f>
        <v/>
      </c>
      <c r="I106" t="s">
        <v>420</v>
      </c>
    </row>
    <row r="107" spans="1:9" x14ac:dyDescent="0.35">
      <c r="A107" t="s">
        <v>196</v>
      </c>
      <c r="B107" t="s">
        <v>197</v>
      </c>
      <c r="C107" t="s">
        <v>63</v>
      </c>
      <c r="D107" t="s">
        <v>64</v>
      </c>
      <c r="F107" s="9">
        <f>_xlfn.XLOOKUP(tblSelection[[#This Row],[Firm Name]],tblContext[Firm Name],tblContext[Insurance &amp; pure protection],"Not found",0)</f>
        <v>0</v>
      </c>
      <c r="G107" s="9" t="str">
        <f>IF(AND(tblSelection[[#This Row],[Reporting period]]="2025-07-01 to 2025-12-31", tblSelection[[#This Row],[Joint Reporting]]="no", ISNUMBER(tblSelection[[#This Row],[Context A Complaints per 1,000]]),tblSelection[[#This Row],[Insurance &amp; pure protection]]&gt;0), "Yes", "No")</f>
        <v>No</v>
      </c>
      <c r="H107" t="str">
        <f>IF(tblSelection[[#This Row],[Eligible?]]="Yes",1+COUNTIFS(tblSelection[Eligible?],"Yes",tblSelection[Insurance &amp; pure protection],"&gt;"&amp;tblSelection[[#This Row],[Insurance &amp; pure protection]]),"")</f>
        <v/>
      </c>
      <c r="I107" t="s">
        <v>420</v>
      </c>
    </row>
    <row r="108" spans="1:9" x14ac:dyDescent="0.35">
      <c r="A108" t="s">
        <v>202</v>
      </c>
      <c r="B108" t="s">
        <v>203</v>
      </c>
      <c r="C108" t="s">
        <v>63</v>
      </c>
      <c r="D108" t="s">
        <v>64</v>
      </c>
      <c r="F108" s="9">
        <f>_xlfn.XLOOKUP(tblSelection[[#This Row],[Firm Name]],tblContext[Firm Name],tblContext[Insurance &amp; pure protection],"Not found",0)</f>
        <v>0</v>
      </c>
      <c r="G108" s="9" t="str">
        <f>IF(AND(tblSelection[[#This Row],[Reporting period]]="2025-07-01 to 2025-12-31", tblSelection[[#This Row],[Joint Reporting]]="no", ISNUMBER(tblSelection[[#This Row],[Context A Complaints per 1,000]]),tblSelection[[#This Row],[Insurance &amp; pure protection]]&gt;0), "Yes", "No")</f>
        <v>No</v>
      </c>
      <c r="H108" t="str">
        <f>IF(tblSelection[[#This Row],[Eligible?]]="Yes",1+COUNTIFS(tblSelection[Eligible?],"Yes",tblSelection[Insurance &amp; pure protection],"&gt;"&amp;tblSelection[[#This Row],[Insurance &amp; pure protection]]),"")</f>
        <v/>
      </c>
      <c r="I108" t="s">
        <v>420</v>
      </c>
    </row>
    <row r="109" spans="1:9" x14ac:dyDescent="0.35">
      <c r="A109" t="s">
        <v>211</v>
      </c>
      <c r="B109" t="s">
        <v>212</v>
      </c>
      <c r="C109" t="s">
        <v>63</v>
      </c>
      <c r="D109" t="s">
        <v>64</v>
      </c>
      <c r="F109" s="9" t="str">
        <f>_xlfn.XLOOKUP(tblSelection[[#This Row],[Firm Name]],tblContext[Firm Name],tblContext[Insurance &amp; pure protection],"Not found",0)</f>
        <v>Not found</v>
      </c>
      <c r="G109" s="9" t="str">
        <f>IF(AND(tblSelection[[#This Row],[Reporting period]]="2025-07-01 to 2025-12-31", tblSelection[[#This Row],[Joint Reporting]]="no", ISNUMBER(tblSelection[[#This Row],[Context A Complaints per 1,000]]),tblSelection[[#This Row],[Insurance &amp; pure protection]]&gt;0), "Yes", "No")</f>
        <v>No</v>
      </c>
      <c r="H109" t="str">
        <f>IF(tblSelection[[#This Row],[Eligible?]]="Yes",1+COUNTIFS(tblSelection[Eligible?],"Yes",tblSelection[Insurance &amp; pure protection],"&gt;"&amp;tblSelection[[#This Row],[Insurance &amp; pure protection]]),"")</f>
        <v/>
      </c>
      <c r="I109" t="s">
        <v>420</v>
      </c>
    </row>
    <row r="110" spans="1:9" x14ac:dyDescent="0.35">
      <c r="A110" t="s">
        <v>215</v>
      </c>
      <c r="B110" t="s">
        <v>216</v>
      </c>
      <c r="C110" t="s">
        <v>63</v>
      </c>
      <c r="D110" t="s">
        <v>64</v>
      </c>
      <c r="F110" s="9">
        <f>_xlfn.XLOOKUP(tblSelection[[#This Row],[Firm Name]],tblContext[Firm Name],tblContext[Insurance &amp; pure protection],"Not found",0)</f>
        <v>0</v>
      </c>
      <c r="G110" s="9" t="str">
        <f>IF(AND(tblSelection[[#This Row],[Reporting period]]="2025-07-01 to 2025-12-31", tblSelection[[#This Row],[Joint Reporting]]="no", ISNUMBER(tblSelection[[#This Row],[Context A Complaints per 1,000]]),tblSelection[[#This Row],[Insurance &amp; pure protection]]&gt;0), "Yes", "No")</f>
        <v>No</v>
      </c>
      <c r="H110" t="str">
        <f>IF(tblSelection[[#This Row],[Eligible?]]="Yes",1+COUNTIFS(tblSelection[Eligible?],"Yes",tblSelection[Insurance &amp; pure protection],"&gt;"&amp;tblSelection[[#This Row],[Insurance &amp; pure protection]]),"")</f>
        <v/>
      </c>
      <c r="I110" t="s">
        <v>420</v>
      </c>
    </row>
    <row r="111" spans="1:9" x14ac:dyDescent="0.35">
      <c r="A111" t="s">
        <v>217</v>
      </c>
      <c r="B111" t="s">
        <v>216</v>
      </c>
      <c r="C111" t="s">
        <v>63</v>
      </c>
      <c r="D111" t="s">
        <v>64</v>
      </c>
      <c r="F111" s="9">
        <f>_xlfn.XLOOKUP(tblSelection[[#This Row],[Firm Name]],tblContext[Firm Name],tblContext[Insurance &amp; pure protection],"Not found",0)</f>
        <v>0</v>
      </c>
      <c r="G111" s="9" t="str">
        <f>IF(AND(tblSelection[[#This Row],[Reporting period]]="2025-07-01 to 2025-12-31", tblSelection[[#This Row],[Joint Reporting]]="no", ISNUMBER(tblSelection[[#This Row],[Context A Complaints per 1,000]]),tblSelection[[#This Row],[Insurance &amp; pure protection]]&gt;0), "Yes", "No")</f>
        <v>No</v>
      </c>
      <c r="H111" t="str">
        <f>IF(tblSelection[[#This Row],[Eligible?]]="Yes",1+COUNTIFS(tblSelection[Eligible?],"Yes",tblSelection[Insurance &amp; pure protection],"&gt;"&amp;tblSelection[[#This Row],[Insurance &amp; pure protection]]),"")</f>
        <v/>
      </c>
      <c r="I111" t="s">
        <v>420</v>
      </c>
    </row>
    <row r="112" spans="1:9" x14ac:dyDescent="0.35">
      <c r="A112" t="s">
        <v>220</v>
      </c>
      <c r="B112" t="s">
        <v>91</v>
      </c>
      <c r="C112" t="s">
        <v>63</v>
      </c>
      <c r="D112" t="s">
        <v>64</v>
      </c>
      <c r="E112">
        <v>16</v>
      </c>
      <c r="F112" s="9" t="str">
        <f>_xlfn.XLOOKUP(tblSelection[[#This Row],[Firm Name]],tblContext[Firm Name],tblContext[Insurance &amp; pure protection],"Not found",0)</f>
        <v>Not found</v>
      </c>
      <c r="G112" s="9" t="str">
        <f>IF(AND(tblSelection[[#This Row],[Reporting period]]="2025-07-01 to 2025-12-31", tblSelection[[#This Row],[Joint Reporting]]="no", ISNUMBER(tblSelection[[#This Row],[Context A Complaints per 1,000]]),tblSelection[[#This Row],[Insurance &amp; pure protection]]&gt;0), "Yes", "No")</f>
        <v>No</v>
      </c>
      <c r="H112" t="str">
        <f>IF(tblSelection[[#This Row],[Eligible?]]="Yes",1+COUNTIFS(tblSelection[Eligible?],"Yes",tblSelection[Insurance &amp; pure protection],"&gt;"&amp;tblSelection[[#This Row],[Insurance &amp; pure protection]]),"")</f>
        <v/>
      </c>
      <c r="I112" t="s">
        <v>420</v>
      </c>
    </row>
    <row r="113" spans="1:9" x14ac:dyDescent="0.35">
      <c r="A113" t="s">
        <v>225</v>
      </c>
      <c r="B113" t="s">
        <v>77</v>
      </c>
      <c r="C113" t="s">
        <v>63</v>
      </c>
      <c r="D113" t="s">
        <v>64</v>
      </c>
      <c r="F113" s="9" t="str">
        <f>_xlfn.XLOOKUP(tblSelection[[#This Row],[Firm Name]],tblContext[Firm Name],tblContext[Insurance &amp; pure protection],"Not found",0)</f>
        <v>Not found</v>
      </c>
      <c r="G113" s="9" t="str">
        <f>IF(AND(tblSelection[[#This Row],[Reporting period]]="2025-07-01 to 2025-12-31", tblSelection[[#This Row],[Joint Reporting]]="no", ISNUMBER(tblSelection[[#This Row],[Context A Complaints per 1,000]]),tblSelection[[#This Row],[Insurance &amp; pure protection]]&gt;0), "Yes", "No")</f>
        <v>No</v>
      </c>
      <c r="H113" t="str">
        <f>IF(tblSelection[[#This Row],[Eligible?]]="Yes",1+COUNTIFS(tblSelection[Eligible?],"Yes",tblSelection[Insurance &amp; pure protection],"&gt;"&amp;tblSelection[[#This Row],[Insurance &amp; pure protection]]),"")</f>
        <v/>
      </c>
      <c r="I113" t="s">
        <v>420</v>
      </c>
    </row>
    <row r="114" spans="1:9" x14ac:dyDescent="0.35">
      <c r="A114" t="s">
        <v>227</v>
      </c>
      <c r="B114" t="s">
        <v>228</v>
      </c>
      <c r="C114" t="s">
        <v>63</v>
      </c>
      <c r="D114" t="s">
        <v>64</v>
      </c>
      <c r="F114" s="9">
        <f>_xlfn.XLOOKUP(tblSelection[[#This Row],[Firm Name]],tblContext[Firm Name],tblContext[Insurance &amp; pure protection],"Not found",0)</f>
        <v>0</v>
      </c>
      <c r="G114" s="9" t="str">
        <f>IF(AND(tblSelection[[#This Row],[Reporting period]]="2025-07-01 to 2025-12-31", tblSelection[[#This Row],[Joint Reporting]]="no", ISNUMBER(tblSelection[[#This Row],[Context A Complaints per 1,000]]),tblSelection[[#This Row],[Insurance &amp; pure protection]]&gt;0), "Yes", "No")</f>
        <v>No</v>
      </c>
      <c r="H114" t="str">
        <f>IF(tblSelection[[#This Row],[Eligible?]]="Yes",1+COUNTIFS(tblSelection[Eligible?],"Yes",tblSelection[Insurance &amp; pure protection],"&gt;"&amp;tblSelection[[#This Row],[Insurance &amp; pure protection]]),"")</f>
        <v/>
      </c>
      <c r="I114" t="s">
        <v>420</v>
      </c>
    </row>
    <row r="115" spans="1:9" x14ac:dyDescent="0.35">
      <c r="A115" t="s">
        <v>238</v>
      </c>
      <c r="B115" t="s">
        <v>77</v>
      </c>
      <c r="C115" t="s">
        <v>63</v>
      </c>
      <c r="D115" t="s">
        <v>64</v>
      </c>
      <c r="E115" s="10">
        <v>2358</v>
      </c>
      <c r="F115" s="9" t="str">
        <f>_xlfn.XLOOKUP(tblSelection[[#This Row],[Firm Name]],tblContext[Firm Name],tblContext[Insurance &amp; pure protection],"Not found",0)</f>
        <v>Not found</v>
      </c>
      <c r="G115" s="9" t="str">
        <f>IF(AND(tblSelection[[#This Row],[Reporting period]]="2025-07-01 to 2025-12-31", tblSelection[[#This Row],[Joint Reporting]]="no", ISNUMBER(tblSelection[[#This Row],[Context A Complaints per 1,000]]),tblSelection[[#This Row],[Insurance &amp; pure protection]]&gt;0), "Yes", "No")</f>
        <v>No</v>
      </c>
      <c r="H115" t="str">
        <f>IF(tblSelection[[#This Row],[Eligible?]]="Yes",1+COUNTIFS(tblSelection[Eligible?],"Yes",tblSelection[Insurance &amp; pure protection],"&gt;"&amp;tblSelection[[#This Row],[Insurance &amp; pure protection]]),"")</f>
        <v/>
      </c>
      <c r="I115" t="s">
        <v>420</v>
      </c>
    </row>
    <row r="116" spans="1:9" x14ac:dyDescent="0.35">
      <c r="A116" t="s">
        <v>246</v>
      </c>
      <c r="B116" t="s">
        <v>247</v>
      </c>
      <c r="C116" t="s">
        <v>63</v>
      </c>
      <c r="D116" t="s">
        <v>64</v>
      </c>
      <c r="F116" s="9">
        <f>_xlfn.XLOOKUP(tblSelection[[#This Row],[Firm Name]],tblContext[Firm Name],tblContext[Insurance &amp; pure protection],"Not found",0)</f>
        <v>0</v>
      </c>
      <c r="G116" s="9" t="str">
        <f>IF(AND(tblSelection[[#This Row],[Reporting period]]="2025-07-01 to 2025-12-31", tblSelection[[#This Row],[Joint Reporting]]="no", ISNUMBER(tblSelection[[#This Row],[Context A Complaints per 1,000]]),tblSelection[[#This Row],[Insurance &amp; pure protection]]&gt;0), "Yes", "No")</f>
        <v>No</v>
      </c>
      <c r="H116" t="str">
        <f>IF(tblSelection[[#This Row],[Eligible?]]="Yes",1+COUNTIFS(tblSelection[Eligible?],"Yes",tblSelection[Insurance &amp; pure protection],"&gt;"&amp;tblSelection[[#This Row],[Insurance &amp; pure protection]]),"")</f>
        <v/>
      </c>
      <c r="I116" t="s">
        <v>420</v>
      </c>
    </row>
    <row r="117" spans="1:9" x14ac:dyDescent="0.35">
      <c r="A117" t="s">
        <v>252</v>
      </c>
      <c r="B117" t="s">
        <v>77</v>
      </c>
      <c r="C117" t="s">
        <v>63</v>
      </c>
      <c r="D117" t="s">
        <v>64</v>
      </c>
      <c r="F117" s="9">
        <f>_xlfn.XLOOKUP(tblSelection[[#This Row],[Firm Name]],tblContext[Firm Name],tblContext[Insurance &amp; pure protection],"Not found",0)</f>
        <v>0</v>
      </c>
      <c r="G117" s="9" t="str">
        <f>IF(AND(tblSelection[[#This Row],[Reporting period]]="2025-07-01 to 2025-12-31", tblSelection[[#This Row],[Joint Reporting]]="no", ISNUMBER(tblSelection[[#This Row],[Context A Complaints per 1,000]]),tblSelection[[#This Row],[Insurance &amp; pure protection]]&gt;0), "Yes", "No")</f>
        <v>No</v>
      </c>
      <c r="H117" t="str">
        <f>IF(tblSelection[[#This Row],[Eligible?]]="Yes",1+COUNTIFS(tblSelection[Eligible?],"Yes",tblSelection[Insurance &amp; pure protection],"&gt;"&amp;tblSelection[[#This Row],[Insurance &amp; pure protection]]),"")</f>
        <v/>
      </c>
      <c r="I117" t="s">
        <v>420</v>
      </c>
    </row>
    <row r="118" spans="1:9" x14ac:dyDescent="0.35">
      <c r="A118" t="s">
        <v>253</v>
      </c>
      <c r="B118" t="s">
        <v>254</v>
      </c>
      <c r="C118" t="s">
        <v>63</v>
      </c>
      <c r="D118" t="s">
        <v>64</v>
      </c>
      <c r="F118" s="9">
        <f>_xlfn.XLOOKUP(tblSelection[[#This Row],[Firm Name]],tblContext[Firm Name],tblContext[Insurance &amp; pure protection],"Not found",0)</f>
        <v>0</v>
      </c>
      <c r="G118" s="9" t="str">
        <f>IF(AND(tblSelection[[#This Row],[Reporting period]]="2025-07-01 to 2025-12-31", tblSelection[[#This Row],[Joint Reporting]]="no", ISNUMBER(tblSelection[[#This Row],[Context A Complaints per 1,000]]),tblSelection[[#This Row],[Insurance &amp; pure protection]]&gt;0), "Yes", "No")</f>
        <v>No</v>
      </c>
      <c r="H118" t="str">
        <f>IF(tblSelection[[#This Row],[Eligible?]]="Yes",1+COUNTIFS(tblSelection[Eligible?],"Yes",tblSelection[Insurance &amp; pure protection],"&gt;"&amp;tblSelection[[#This Row],[Insurance &amp; pure protection]]),"")</f>
        <v/>
      </c>
      <c r="I118" t="s">
        <v>420</v>
      </c>
    </row>
    <row r="119" spans="1:9" x14ac:dyDescent="0.35">
      <c r="A119" t="s">
        <v>255</v>
      </c>
      <c r="B119" t="s">
        <v>256</v>
      </c>
      <c r="C119" t="s">
        <v>63</v>
      </c>
      <c r="D119" t="s">
        <v>64</v>
      </c>
      <c r="F119" s="9">
        <f>_xlfn.XLOOKUP(tblSelection[[#This Row],[Firm Name]],tblContext[Firm Name],tblContext[Insurance &amp; pure protection],"Not found",0)</f>
        <v>0</v>
      </c>
      <c r="G119" s="9" t="str">
        <f>IF(AND(tblSelection[[#This Row],[Reporting period]]="2025-07-01 to 2025-12-31", tblSelection[[#This Row],[Joint Reporting]]="no", ISNUMBER(tblSelection[[#This Row],[Context A Complaints per 1,000]]),tblSelection[[#This Row],[Insurance &amp; pure protection]]&gt;0), "Yes", "No")</f>
        <v>No</v>
      </c>
      <c r="H119" t="str">
        <f>IF(tblSelection[[#This Row],[Eligible?]]="Yes",1+COUNTIFS(tblSelection[Eligible?],"Yes",tblSelection[Insurance &amp; pure protection],"&gt;"&amp;tblSelection[[#This Row],[Insurance &amp; pure protection]]),"")</f>
        <v/>
      </c>
      <c r="I119" t="s">
        <v>420</v>
      </c>
    </row>
    <row r="120" spans="1:9" x14ac:dyDescent="0.35">
      <c r="A120" t="s">
        <v>257</v>
      </c>
      <c r="B120" t="s">
        <v>256</v>
      </c>
      <c r="C120" t="s">
        <v>63</v>
      </c>
      <c r="D120" t="s">
        <v>64</v>
      </c>
      <c r="F120" s="9">
        <f>_xlfn.XLOOKUP(tblSelection[[#This Row],[Firm Name]],tblContext[Firm Name],tblContext[Insurance &amp; pure protection],"Not found",0)</f>
        <v>0</v>
      </c>
      <c r="G120" s="9" t="str">
        <f>IF(AND(tblSelection[[#This Row],[Reporting period]]="2025-07-01 to 2025-12-31", tblSelection[[#This Row],[Joint Reporting]]="no", ISNUMBER(tblSelection[[#This Row],[Context A Complaints per 1,000]]),tblSelection[[#This Row],[Insurance &amp; pure protection]]&gt;0), "Yes", "No")</f>
        <v>No</v>
      </c>
      <c r="H120" t="str">
        <f>IF(tblSelection[[#This Row],[Eligible?]]="Yes",1+COUNTIFS(tblSelection[Eligible?],"Yes",tblSelection[Insurance &amp; pure protection],"&gt;"&amp;tblSelection[[#This Row],[Insurance &amp; pure protection]]),"")</f>
        <v/>
      </c>
      <c r="I120" t="s">
        <v>420</v>
      </c>
    </row>
    <row r="121" spans="1:9" x14ac:dyDescent="0.35">
      <c r="A121" t="s">
        <v>258</v>
      </c>
      <c r="B121" t="s">
        <v>259</v>
      </c>
      <c r="C121" t="s">
        <v>63</v>
      </c>
      <c r="D121" t="s">
        <v>64</v>
      </c>
      <c r="F121" s="9">
        <f>_xlfn.XLOOKUP(tblSelection[[#This Row],[Firm Name]],tblContext[Firm Name],tblContext[Insurance &amp; pure protection],"Not found",0)</f>
        <v>0</v>
      </c>
      <c r="G121" s="9" t="str">
        <f>IF(AND(tblSelection[[#This Row],[Reporting period]]="2025-07-01 to 2025-12-31", tblSelection[[#This Row],[Joint Reporting]]="no", ISNUMBER(tblSelection[[#This Row],[Context A Complaints per 1,000]]),tblSelection[[#This Row],[Insurance &amp; pure protection]]&gt;0), "Yes", "No")</f>
        <v>No</v>
      </c>
      <c r="H121" t="str">
        <f>IF(tblSelection[[#This Row],[Eligible?]]="Yes",1+COUNTIFS(tblSelection[Eligible?],"Yes",tblSelection[Insurance &amp; pure protection],"&gt;"&amp;tblSelection[[#This Row],[Insurance &amp; pure protection]]),"")</f>
        <v/>
      </c>
      <c r="I121" t="s">
        <v>420</v>
      </c>
    </row>
    <row r="122" spans="1:9" x14ac:dyDescent="0.35">
      <c r="A122" t="s">
        <v>260</v>
      </c>
      <c r="B122" t="s">
        <v>77</v>
      </c>
      <c r="C122" t="s">
        <v>63</v>
      </c>
      <c r="D122" t="s">
        <v>64</v>
      </c>
      <c r="F122" s="9">
        <f>_xlfn.XLOOKUP(tblSelection[[#This Row],[Firm Name]],tblContext[Firm Name],tblContext[Insurance &amp; pure protection],"Not found",0)</f>
        <v>0</v>
      </c>
      <c r="G122" s="9" t="str">
        <f>IF(AND(tblSelection[[#This Row],[Reporting period]]="2025-07-01 to 2025-12-31", tblSelection[[#This Row],[Joint Reporting]]="no", ISNUMBER(tblSelection[[#This Row],[Context A Complaints per 1,000]]),tblSelection[[#This Row],[Insurance &amp; pure protection]]&gt;0), "Yes", "No")</f>
        <v>No</v>
      </c>
      <c r="H122" t="str">
        <f>IF(tblSelection[[#This Row],[Eligible?]]="Yes",1+COUNTIFS(tblSelection[Eligible?],"Yes",tblSelection[Insurance &amp; pure protection],"&gt;"&amp;tblSelection[[#This Row],[Insurance &amp; pure protection]]),"")</f>
        <v/>
      </c>
      <c r="I122" t="s">
        <v>420</v>
      </c>
    </row>
    <row r="123" spans="1:9" x14ac:dyDescent="0.35">
      <c r="A123" t="s">
        <v>261</v>
      </c>
      <c r="B123" t="s">
        <v>77</v>
      </c>
      <c r="C123" t="s">
        <v>63</v>
      </c>
      <c r="D123" t="s">
        <v>64</v>
      </c>
      <c r="F123" s="9" t="str">
        <f>_xlfn.XLOOKUP(tblSelection[[#This Row],[Firm Name]],tblContext[Firm Name],tblContext[Insurance &amp; pure protection],"Not found",0)</f>
        <v>Not found</v>
      </c>
      <c r="G123" s="9" t="str">
        <f>IF(AND(tblSelection[[#This Row],[Reporting period]]="2025-07-01 to 2025-12-31", tblSelection[[#This Row],[Joint Reporting]]="no", ISNUMBER(tblSelection[[#This Row],[Context A Complaints per 1,000]]),tblSelection[[#This Row],[Insurance &amp; pure protection]]&gt;0), "Yes", "No")</f>
        <v>No</v>
      </c>
      <c r="H123" t="str">
        <f>IF(tblSelection[[#This Row],[Eligible?]]="Yes",1+COUNTIFS(tblSelection[Eligible?],"Yes",tblSelection[Insurance &amp; pure protection],"&gt;"&amp;tblSelection[[#This Row],[Insurance &amp; pure protection]]),"")</f>
        <v/>
      </c>
      <c r="I123" t="s">
        <v>420</v>
      </c>
    </row>
    <row r="124" spans="1:9" x14ac:dyDescent="0.35">
      <c r="A124" t="s">
        <v>262</v>
      </c>
      <c r="B124" t="s">
        <v>263</v>
      </c>
      <c r="C124" t="s">
        <v>63</v>
      </c>
      <c r="D124" t="s">
        <v>64</v>
      </c>
      <c r="E124">
        <v>23</v>
      </c>
      <c r="F124" s="9" t="str">
        <f>_xlfn.XLOOKUP(tblSelection[[#This Row],[Firm Name]],tblContext[Firm Name],tblContext[Insurance &amp; pure protection],"Not found",0)</f>
        <v>Not found</v>
      </c>
      <c r="G124" s="9" t="str">
        <f>IF(AND(tblSelection[[#This Row],[Reporting period]]="2025-07-01 to 2025-12-31", tblSelection[[#This Row],[Joint Reporting]]="no", ISNUMBER(tblSelection[[#This Row],[Context A Complaints per 1,000]]),tblSelection[[#This Row],[Insurance &amp; pure protection]]&gt;0), "Yes", "No")</f>
        <v>No</v>
      </c>
      <c r="H124" t="str">
        <f>IF(tblSelection[[#This Row],[Eligible?]]="Yes",1+COUNTIFS(tblSelection[Eligible?],"Yes",tblSelection[Insurance &amp; pure protection],"&gt;"&amp;tblSelection[[#This Row],[Insurance &amp; pure protection]]),"")</f>
        <v/>
      </c>
      <c r="I124" t="s">
        <v>420</v>
      </c>
    </row>
    <row r="125" spans="1:9" x14ac:dyDescent="0.35">
      <c r="A125" t="s">
        <v>264</v>
      </c>
      <c r="B125" t="s">
        <v>265</v>
      </c>
      <c r="C125" t="s">
        <v>63</v>
      </c>
      <c r="D125" t="s">
        <v>64</v>
      </c>
      <c r="F125" s="9">
        <f>_xlfn.XLOOKUP(tblSelection[[#This Row],[Firm Name]],tblContext[Firm Name],tblContext[Insurance &amp; pure protection],"Not found",0)</f>
        <v>0</v>
      </c>
      <c r="G125" s="9" t="str">
        <f>IF(AND(tblSelection[[#This Row],[Reporting period]]="2025-07-01 to 2025-12-31", tblSelection[[#This Row],[Joint Reporting]]="no", ISNUMBER(tblSelection[[#This Row],[Context A Complaints per 1,000]]),tblSelection[[#This Row],[Insurance &amp; pure protection]]&gt;0), "Yes", "No")</f>
        <v>No</v>
      </c>
      <c r="H125" t="str">
        <f>IF(tblSelection[[#This Row],[Eligible?]]="Yes",1+COUNTIFS(tblSelection[Eligible?],"Yes",tblSelection[Insurance &amp; pure protection],"&gt;"&amp;tblSelection[[#This Row],[Insurance &amp; pure protection]]),"")</f>
        <v/>
      </c>
      <c r="I125" t="s">
        <v>420</v>
      </c>
    </row>
    <row r="126" spans="1:9" x14ac:dyDescent="0.35">
      <c r="A126" t="s">
        <v>269</v>
      </c>
      <c r="B126" t="s">
        <v>270</v>
      </c>
      <c r="C126" t="s">
        <v>63</v>
      </c>
      <c r="D126" t="s">
        <v>64</v>
      </c>
      <c r="F126" s="9" t="str">
        <f>_xlfn.XLOOKUP(tblSelection[[#This Row],[Firm Name]],tblContext[Firm Name],tblContext[Insurance &amp; pure protection],"Not found",0)</f>
        <v>Not found</v>
      </c>
      <c r="G126" s="9" t="str">
        <f>IF(AND(tblSelection[[#This Row],[Reporting period]]="2025-07-01 to 2025-12-31", tblSelection[[#This Row],[Joint Reporting]]="no", ISNUMBER(tblSelection[[#This Row],[Context A Complaints per 1,000]]),tblSelection[[#This Row],[Insurance &amp; pure protection]]&gt;0), "Yes", "No")</f>
        <v>No</v>
      </c>
      <c r="H126" t="str">
        <f>IF(tblSelection[[#This Row],[Eligible?]]="Yes",1+COUNTIFS(tblSelection[Eligible?],"Yes",tblSelection[Insurance &amp; pure protection],"&gt;"&amp;tblSelection[[#This Row],[Insurance &amp; pure protection]]),"")</f>
        <v/>
      </c>
      <c r="I126" t="s">
        <v>420</v>
      </c>
    </row>
    <row r="127" spans="1:9" x14ac:dyDescent="0.35">
      <c r="A127" t="s">
        <v>276</v>
      </c>
      <c r="B127" t="s">
        <v>77</v>
      </c>
      <c r="C127" t="s">
        <v>63</v>
      </c>
      <c r="D127" t="s">
        <v>64</v>
      </c>
      <c r="E127">
        <v>47</v>
      </c>
      <c r="F127" s="9" t="str">
        <f>_xlfn.XLOOKUP(tblSelection[[#This Row],[Firm Name]],tblContext[Firm Name],tblContext[Insurance &amp; pure protection],"Not found",0)</f>
        <v>Not found</v>
      </c>
      <c r="G127" s="9" t="str">
        <f>IF(AND(tblSelection[[#This Row],[Reporting period]]="2025-07-01 to 2025-12-31", tblSelection[[#This Row],[Joint Reporting]]="no", ISNUMBER(tblSelection[[#This Row],[Context A Complaints per 1,000]]),tblSelection[[#This Row],[Insurance &amp; pure protection]]&gt;0), "Yes", "No")</f>
        <v>No</v>
      </c>
      <c r="H127" t="str">
        <f>IF(tblSelection[[#This Row],[Eligible?]]="Yes",1+COUNTIFS(tblSelection[Eligible?],"Yes",tblSelection[Insurance &amp; pure protection],"&gt;"&amp;tblSelection[[#This Row],[Insurance &amp; pure protection]]),"")</f>
        <v/>
      </c>
      <c r="I127" t="s">
        <v>420</v>
      </c>
    </row>
    <row r="128" spans="1:9" x14ac:dyDescent="0.35">
      <c r="A128" t="s">
        <v>277</v>
      </c>
      <c r="B128" t="s">
        <v>278</v>
      </c>
      <c r="C128" t="s">
        <v>63</v>
      </c>
      <c r="D128" t="s">
        <v>64</v>
      </c>
      <c r="F128" s="9" t="str">
        <f>_xlfn.XLOOKUP(tblSelection[[#This Row],[Firm Name]],tblContext[Firm Name],tblContext[Insurance &amp; pure protection],"Not found",0)</f>
        <v>Not found</v>
      </c>
      <c r="G128" s="9" t="str">
        <f>IF(AND(tblSelection[[#This Row],[Reporting period]]="2025-07-01 to 2025-12-31", tblSelection[[#This Row],[Joint Reporting]]="no", ISNUMBER(tblSelection[[#This Row],[Context A Complaints per 1,000]]),tblSelection[[#This Row],[Insurance &amp; pure protection]]&gt;0), "Yes", "No")</f>
        <v>No</v>
      </c>
      <c r="H128" t="str">
        <f>IF(tblSelection[[#This Row],[Eligible?]]="Yes",1+COUNTIFS(tblSelection[Eligible?],"Yes",tblSelection[Insurance &amp; pure protection],"&gt;"&amp;tblSelection[[#This Row],[Insurance &amp; pure protection]]),"")</f>
        <v/>
      </c>
      <c r="I128" t="s">
        <v>420</v>
      </c>
    </row>
    <row r="129" spans="1:9" x14ac:dyDescent="0.35">
      <c r="A129" t="s">
        <v>285</v>
      </c>
      <c r="B129" t="s">
        <v>77</v>
      </c>
      <c r="C129" t="s">
        <v>63</v>
      </c>
      <c r="D129" t="s">
        <v>64</v>
      </c>
      <c r="F129" s="9">
        <f>_xlfn.XLOOKUP(tblSelection[[#This Row],[Firm Name]],tblContext[Firm Name],tblContext[Insurance &amp; pure protection],"Not found",0)</f>
        <v>0</v>
      </c>
      <c r="G129" s="9" t="str">
        <f>IF(AND(tblSelection[[#This Row],[Reporting period]]="2025-07-01 to 2025-12-31", tblSelection[[#This Row],[Joint Reporting]]="no", ISNUMBER(tblSelection[[#This Row],[Context A Complaints per 1,000]]),tblSelection[[#This Row],[Insurance &amp; pure protection]]&gt;0), "Yes", "No")</f>
        <v>No</v>
      </c>
      <c r="H129" t="str">
        <f>IF(tblSelection[[#This Row],[Eligible?]]="Yes",1+COUNTIFS(tblSelection[Eligible?],"Yes",tblSelection[Insurance &amp; pure protection],"&gt;"&amp;tblSelection[[#This Row],[Insurance &amp; pure protection]]),"")</f>
        <v/>
      </c>
      <c r="I129" t="s">
        <v>420</v>
      </c>
    </row>
    <row r="130" spans="1:9" x14ac:dyDescent="0.35">
      <c r="A130" t="s">
        <v>290</v>
      </c>
      <c r="B130" t="s">
        <v>91</v>
      </c>
      <c r="C130" t="s">
        <v>63</v>
      </c>
      <c r="D130" t="s">
        <v>64</v>
      </c>
      <c r="E130">
        <v>18</v>
      </c>
      <c r="F130" s="9" t="str">
        <f>_xlfn.XLOOKUP(tblSelection[[#This Row],[Firm Name]],tblContext[Firm Name],tblContext[Insurance &amp; pure protection],"Not found",0)</f>
        <v>Not found</v>
      </c>
      <c r="G130" s="9" t="str">
        <f>IF(AND(tblSelection[[#This Row],[Reporting period]]="2025-07-01 to 2025-12-31", tblSelection[[#This Row],[Joint Reporting]]="no", ISNUMBER(tblSelection[[#This Row],[Context A Complaints per 1,000]]),tblSelection[[#This Row],[Insurance &amp; pure protection]]&gt;0), "Yes", "No")</f>
        <v>No</v>
      </c>
      <c r="H130" t="str">
        <f>IF(tblSelection[[#This Row],[Eligible?]]="Yes",1+COUNTIFS(tblSelection[Eligible?],"Yes",tblSelection[Insurance &amp; pure protection],"&gt;"&amp;tblSelection[[#This Row],[Insurance &amp; pure protection]]),"")</f>
        <v/>
      </c>
      <c r="I130" t="s">
        <v>420</v>
      </c>
    </row>
    <row r="131" spans="1:9" x14ac:dyDescent="0.35">
      <c r="A131" t="s">
        <v>302</v>
      </c>
      <c r="B131" t="s">
        <v>303</v>
      </c>
      <c r="C131" t="s">
        <v>63</v>
      </c>
      <c r="D131" t="s">
        <v>64</v>
      </c>
      <c r="F131" s="9">
        <f>_xlfn.XLOOKUP(tblSelection[[#This Row],[Firm Name]],tblContext[Firm Name],tblContext[Insurance &amp; pure protection],"Not found",0)</f>
        <v>0</v>
      </c>
      <c r="G131" s="9" t="str">
        <f>IF(AND(tblSelection[[#This Row],[Reporting period]]="2025-07-01 to 2025-12-31", tblSelection[[#This Row],[Joint Reporting]]="no", ISNUMBER(tblSelection[[#This Row],[Context A Complaints per 1,000]]),tblSelection[[#This Row],[Insurance &amp; pure protection]]&gt;0), "Yes", "No")</f>
        <v>No</v>
      </c>
      <c r="H131" t="str">
        <f>IF(tblSelection[[#This Row],[Eligible?]]="Yes",1+COUNTIFS(tblSelection[Eligible?],"Yes",tblSelection[Insurance &amp; pure protection],"&gt;"&amp;tblSelection[[#This Row],[Insurance &amp; pure protection]]),"")</f>
        <v/>
      </c>
      <c r="I131" t="s">
        <v>420</v>
      </c>
    </row>
    <row r="132" spans="1:9" x14ac:dyDescent="0.35">
      <c r="A132" t="s">
        <v>310</v>
      </c>
      <c r="B132" t="s">
        <v>311</v>
      </c>
      <c r="C132" t="s">
        <v>63</v>
      </c>
      <c r="D132" t="s">
        <v>64</v>
      </c>
      <c r="F132" s="9">
        <f>_xlfn.XLOOKUP(tblSelection[[#This Row],[Firm Name]],tblContext[Firm Name],tblContext[Insurance &amp; pure protection],"Not found",0)</f>
        <v>0</v>
      </c>
      <c r="G132" s="9" t="str">
        <f>IF(AND(tblSelection[[#This Row],[Reporting period]]="2025-07-01 to 2025-12-31", tblSelection[[#This Row],[Joint Reporting]]="no", ISNUMBER(tblSelection[[#This Row],[Context A Complaints per 1,000]]),tblSelection[[#This Row],[Insurance &amp; pure protection]]&gt;0), "Yes", "No")</f>
        <v>No</v>
      </c>
      <c r="H132" t="str">
        <f>IF(tblSelection[[#This Row],[Eligible?]]="Yes",1+COUNTIFS(tblSelection[Eligible?],"Yes",tblSelection[Insurance &amp; pure protection],"&gt;"&amp;tblSelection[[#This Row],[Insurance &amp; pure protection]]),"")</f>
        <v/>
      </c>
      <c r="I132" t="s">
        <v>420</v>
      </c>
    </row>
    <row r="133" spans="1:9" x14ac:dyDescent="0.35">
      <c r="A133" t="s">
        <v>319</v>
      </c>
      <c r="B133" t="s">
        <v>77</v>
      </c>
      <c r="C133" t="s">
        <v>63</v>
      </c>
      <c r="D133" t="s">
        <v>64</v>
      </c>
      <c r="E133" s="10">
        <v>3696</v>
      </c>
      <c r="F133" s="9" t="str">
        <f>_xlfn.XLOOKUP(tblSelection[[#This Row],[Firm Name]],tblContext[Firm Name],tblContext[Insurance &amp; pure protection],"Not found",0)</f>
        <v>Not found</v>
      </c>
      <c r="G133" s="9" t="str">
        <f>IF(AND(tblSelection[[#This Row],[Reporting period]]="2025-07-01 to 2025-12-31", tblSelection[[#This Row],[Joint Reporting]]="no", ISNUMBER(tblSelection[[#This Row],[Context A Complaints per 1,000]]),tblSelection[[#This Row],[Insurance &amp; pure protection]]&gt;0), "Yes", "No")</f>
        <v>No</v>
      </c>
      <c r="H133" t="str">
        <f>IF(tblSelection[[#This Row],[Eligible?]]="Yes",1+COUNTIFS(tblSelection[Eligible?],"Yes",tblSelection[Insurance &amp; pure protection],"&gt;"&amp;tblSelection[[#This Row],[Insurance &amp; pure protection]]),"")</f>
        <v/>
      </c>
      <c r="I133" t="s">
        <v>420</v>
      </c>
    </row>
    <row r="134" spans="1:9" x14ac:dyDescent="0.35">
      <c r="A134" t="s">
        <v>320</v>
      </c>
      <c r="B134" t="s">
        <v>321</v>
      </c>
      <c r="C134" t="s">
        <v>63</v>
      </c>
      <c r="D134" t="s">
        <v>64</v>
      </c>
      <c r="E134">
        <v>20</v>
      </c>
      <c r="F134" s="9" t="str">
        <f>_xlfn.XLOOKUP(tblSelection[[#This Row],[Firm Name]],tblContext[Firm Name],tblContext[Insurance &amp; pure protection],"Not found",0)</f>
        <v>Not found</v>
      </c>
      <c r="G134" s="9" t="str">
        <f>IF(AND(tblSelection[[#This Row],[Reporting period]]="2025-07-01 to 2025-12-31", tblSelection[[#This Row],[Joint Reporting]]="no", ISNUMBER(tblSelection[[#This Row],[Context A Complaints per 1,000]]),tblSelection[[#This Row],[Insurance &amp; pure protection]]&gt;0), "Yes", "No")</f>
        <v>No</v>
      </c>
      <c r="H134" t="str">
        <f>IF(tblSelection[[#This Row],[Eligible?]]="Yes",1+COUNTIFS(tblSelection[Eligible?],"Yes",tblSelection[Insurance &amp; pure protection],"&gt;"&amp;tblSelection[[#This Row],[Insurance &amp; pure protection]]),"")</f>
        <v/>
      </c>
      <c r="I134" t="s">
        <v>420</v>
      </c>
    </row>
    <row r="135" spans="1:9" x14ac:dyDescent="0.35">
      <c r="A135" t="s">
        <v>322</v>
      </c>
      <c r="B135" t="s">
        <v>321</v>
      </c>
      <c r="C135" t="s">
        <v>63</v>
      </c>
      <c r="D135" t="s">
        <v>64</v>
      </c>
      <c r="F135" s="9">
        <f>_xlfn.XLOOKUP(tblSelection[[#This Row],[Firm Name]],tblContext[Firm Name],tblContext[Insurance &amp; pure protection],"Not found",0)</f>
        <v>0</v>
      </c>
      <c r="G135" s="9" t="str">
        <f>IF(AND(tblSelection[[#This Row],[Reporting period]]="2025-07-01 to 2025-12-31", tblSelection[[#This Row],[Joint Reporting]]="no", ISNUMBER(tblSelection[[#This Row],[Context A Complaints per 1,000]]),tblSelection[[#This Row],[Insurance &amp; pure protection]]&gt;0), "Yes", "No")</f>
        <v>No</v>
      </c>
      <c r="H135" t="str">
        <f>IF(tblSelection[[#This Row],[Eligible?]]="Yes",1+COUNTIFS(tblSelection[Eligible?],"Yes",tblSelection[Insurance &amp; pure protection],"&gt;"&amp;tblSelection[[#This Row],[Insurance &amp; pure protection]]),"")</f>
        <v/>
      </c>
      <c r="I135" t="s">
        <v>420</v>
      </c>
    </row>
    <row r="136" spans="1:9" x14ac:dyDescent="0.35">
      <c r="A136" t="s">
        <v>323</v>
      </c>
      <c r="B136" t="s">
        <v>321</v>
      </c>
      <c r="C136" t="s">
        <v>63</v>
      </c>
      <c r="D136" t="s">
        <v>64</v>
      </c>
      <c r="F136" s="9">
        <f>_xlfn.XLOOKUP(tblSelection[[#This Row],[Firm Name]],tblContext[Firm Name],tblContext[Insurance &amp; pure protection],"Not found",0)</f>
        <v>0</v>
      </c>
      <c r="G136" s="9" t="str">
        <f>IF(AND(tblSelection[[#This Row],[Reporting period]]="2025-07-01 to 2025-12-31", tblSelection[[#This Row],[Joint Reporting]]="no", ISNUMBER(tblSelection[[#This Row],[Context A Complaints per 1,000]]),tblSelection[[#This Row],[Insurance &amp; pure protection]]&gt;0), "Yes", "No")</f>
        <v>No</v>
      </c>
      <c r="H136" t="str">
        <f>IF(tblSelection[[#This Row],[Eligible?]]="Yes",1+COUNTIFS(tblSelection[Eligible?],"Yes",tblSelection[Insurance &amp; pure protection],"&gt;"&amp;tblSelection[[#This Row],[Insurance &amp; pure protection]]),"")</f>
        <v/>
      </c>
      <c r="I136" t="s">
        <v>420</v>
      </c>
    </row>
    <row r="137" spans="1:9" x14ac:dyDescent="0.35">
      <c r="A137" t="s">
        <v>326</v>
      </c>
      <c r="B137" t="s">
        <v>180</v>
      </c>
      <c r="C137" t="s">
        <v>63</v>
      </c>
      <c r="D137" t="s">
        <v>64</v>
      </c>
      <c r="F137" s="9">
        <f>_xlfn.XLOOKUP(tblSelection[[#This Row],[Firm Name]],tblContext[Firm Name],tblContext[Insurance &amp; pure protection],"Not found",0)</f>
        <v>0</v>
      </c>
      <c r="G137" s="9" t="str">
        <f>IF(AND(tblSelection[[#This Row],[Reporting period]]="2025-07-01 to 2025-12-31", tblSelection[[#This Row],[Joint Reporting]]="no", ISNUMBER(tblSelection[[#This Row],[Context A Complaints per 1,000]]),tblSelection[[#This Row],[Insurance &amp; pure protection]]&gt;0), "Yes", "No")</f>
        <v>No</v>
      </c>
      <c r="H137" t="str">
        <f>IF(tblSelection[[#This Row],[Eligible?]]="Yes",1+COUNTIFS(tblSelection[Eligible?],"Yes",tblSelection[Insurance &amp; pure protection],"&gt;"&amp;tblSelection[[#This Row],[Insurance &amp; pure protection]]),"")</f>
        <v/>
      </c>
      <c r="I137" t="s">
        <v>420</v>
      </c>
    </row>
    <row r="138" spans="1:9" x14ac:dyDescent="0.35">
      <c r="A138" t="s">
        <v>330</v>
      </c>
      <c r="B138" t="s">
        <v>77</v>
      </c>
      <c r="C138" t="s">
        <v>63</v>
      </c>
      <c r="D138" t="s">
        <v>64</v>
      </c>
      <c r="F138" s="9">
        <f>_xlfn.XLOOKUP(tblSelection[[#This Row],[Firm Name]],tblContext[Firm Name],tblContext[Insurance &amp; pure protection],"Not found",0)</f>
        <v>0</v>
      </c>
      <c r="G138" s="9" t="str">
        <f>IF(AND(tblSelection[[#This Row],[Reporting period]]="2025-07-01 to 2025-12-31", tblSelection[[#This Row],[Joint Reporting]]="no", ISNUMBER(tblSelection[[#This Row],[Context A Complaints per 1,000]]),tblSelection[[#This Row],[Insurance &amp; pure protection]]&gt;0), "Yes", "No")</f>
        <v>No</v>
      </c>
      <c r="H138" t="str">
        <f>IF(tblSelection[[#This Row],[Eligible?]]="Yes",1+COUNTIFS(tblSelection[Eligible?],"Yes",tblSelection[Insurance &amp; pure protection],"&gt;"&amp;tblSelection[[#This Row],[Insurance &amp; pure protection]]),"")</f>
        <v/>
      </c>
      <c r="I138" t="s">
        <v>420</v>
      </c>
    </row>
    <row r="139" spans="1:9" x14ac:dyDescent="0.35">
      <c r="A139" t="s">
        <v>342</v>
      </c>
      <c r="B139" t="s">
        <v>77</v>
      </c>
      <c r="C139" t="s">
        <v>63</v>
      </c>
      <c r="D139" t="s">
        <v>64</v>
      </c>
      <c r="F139" s="9" t="str">
        <f>_xlfn.XLOOKUP(tblSelection[[#This Row],[Firm Name]],tblContext[Firm Name],tblContext[Insurance &amp; pure protection],"Not found",0)</f>
        <v>Not found</v>
      </c>
      <c r="G139" s="9" t="str">
        <f>IF(AND(tblSelection[[#This Row],[Reporting period]]="2025-07-01 to 2025-12-31", tblSelection[[#This Row],[Joint Reporting]]="no", ISNUMBER(tblSelection[[#This Row],[Context A Complaints per 1,000]]),tblSelection[[#This Row],[Insurance &amp; pure protection]]&gt;0), "Yes", "No")</f>
        <v>No</v>
      </c>
      <c r="H139" t="str">
        <f>IF(tblSelection[[#This Row],[Eligible?]]="Yes",1+COUNTIFS(tblSelection[Eligible?],"Yes",tblSelection[Insurance &amp; pure protection],"&gt;"&amp;tblSelection[[#This Row],[Insurance &amp; pure protection]]),"")</f>
        <v/>
      </c>
      <c r="I139" t="s">
        <v>420</v>
      </c>
    </row>
    <row r="140" spans="1:9" x14ac:dyDescent="0.35">
      <c r="A140" t="s">
        <v>343</v>
      </c>
      <c r="B140" t="s">
        <v>344</v>
      </c>
      <c r="C140" t="s">
        <v>63</v>
      </c>
      <c r="D140" t="s">
        <v>64</v>
      </c>
      <c r="F140" s="9">
        <f>_xlfn.XLOOKUP(tblSelection[[#This Row],[Firm Name]],tblContext[Firm Name],tblContext[Insurance &amp; pure protection],"Not found",0)</f>
        <v>0</v>
      </c>
      <c r="G140" s="9" t="str">
        <f>IF(AND(tblSelection[[#This Row],[Reporting period]]="2025-07-01 to 2025-12-31", tblSelection[[#This Row],[Joint Reporting]]="no", ISNUMBER(tblSelection[[#This Row],[Context A Complaints per 1,000]]),tblSelection[[#This Row],[Insurance &amp; pure protection]]&gt;0), "Yes", "No")</f>
        <v>No</v>
      </c>
      <c r="H140" t="str">
        <f>IF(tblSelection[[#This Row],[Eligible?]]="Yes",1+COUNTIFS(tblSelection[Eligible?],"Yes",tblSelection[Insurance &amp; pure protection],"&gt;"&amp;tblSelection[[#This Row],[Insurance &amp; pure protection]]),"")</f>
        <v/>
      </c>
      <c r="I140" t="s">
        <v>420</v>
      </c>
    </row>
    <row r="141" spans="1:9" x14ac:dyDescent="0.35">
      <c r="A141" t="s">
        <v>345</v>
      </c>
      <c r="B141" t="s">
        <v>346</v>
      </c>
      <c r="C141" t="s">
        <v>63</v>
      </c>
      <c r="D141" t="s">
        <v>64</v>
      </c>
      <c r="E141">
        <v>87</v>
      </c>
      <c r="F141" s="9" t="str">
        <f>_xlfn.XLOOKUP(tblSelection[[#This Row],[Firm Name]],tblContext[Firm Name],tblContext[Insurance &amp; pure protection],"Not found",0)</f>
        <v>Not found</v>
      </c>
      <c r="G141" s="9" t="str">
        <f>IF(AND(tblSelection[[#This Row],[Reporting period]]="2025-07-01 to 2025-12-31", tblSelection[[#This Row],[Joint Reporting]]="no", ISNUMBER(tblSelection[[#This Row],[Context A Complaints per 1,000]]),tblSelection[[#This Row],[Insurance &amp; pure protection]]&gt;0), "Yes", "No")</f>
        <v>No</v>
      </c>
      <c r="H141" t="str">
        <f>IF(tblSelection[[#This Row],[Eligible?]]="Yes",1+COUNTIFS(tblSelection[Eligible?],"Yes",tblSelection[Insurance &amp; pure protection],"&gt;"&amp;tblSelection[[#This Row],[Insurance &amp; pure protection]]),"")</f>
        <v/>
      </c>
      <c r="I141" t="s">
        <v>420</v>
      </c>
    </row>
    <row r="142" spans="1:9" x14ac:dyDescent="0.35">
      <c r="A142" t="s">
        <v>349</v>
      </c>
      <c r="B142" t="s">
        <v>176</v>
      </c>
      <c r="C142" t="s">
        <v>63</v>
      </c>
      <c r="D142" t="s">
        <v>64</v>
      </c>
      <c r="F142" s="9">
        <f>_xlfn.XLOOKUP(tblSelection[[#This Row],[Firm Name]],tblContext[Firm Name],tblContext[Insurance &amp; pure protection],"Not found",0)</f>
        <v>0</v>
      </c>
      <c r="G142" s="9" t="str">
        <f>IF(AND(tblSelection[[#This Row],[Reporting period]]="2025-07-01 to 2025-12-31", tblSelection[[#This Row],[Joint Reporting]]="no", ISNUMBER(tblSelection[[#This Row],[Context A Complaints per 1,000]]),tblSelection[[#This Row],[Insurance &amp; pure protection]]&gt;0), "Yes", "No")</f>
        <v>No</v>
      </c>
      <c r="H142" t="str">
        <f>IF(tblSelection[[#This Row],[Eligible?]]="Yes",1+COUNTIFS(tblSelection[Eligible?],"Yes",tblSelection[Insurance &amp; pure protection],"&gt;"&amp;tblSelection[[#This Row],[Insurance &amp; pure protection]]),"")</f>
        <v/>
      </c>
      <c r="I142" t="s">
        <v>420</v>
      </c>
    </row>
    <row r="143" spans="1:9" x14ac:dyDescent="0.35">
      <c r="A143" t="s">
        <v>352</v>
      </c>
      <c r="B143" t="s">
        <v>353</v>
      </c>
      <c r="C143" t="s">
        <v>63</v>
      </c>
      <c r="D143" t="s">
        <v>64</v>
      </c>
      <c r="E143" s="10">
        <v>1472</v>
      </c>
      <c r="F143" s="9" t="str">
        <f>_xlfn.XLOOKUP(tblSelection[[#This Row],[Firm Name]],tblContext[Firm Name],tblContext[Insurance &amp; pure protection],"Not found",0)</f>
        <v>Not found</v>
      </c>
      <c r="G143" s="9" t="str">
        <f>IF(AND(tblSelection[[#This Row],[Reporting period]]="2025-07-01 to 2025-12-31", tblSelection[[#This Row],[Joint Reporting]]="no", ISNUMBER(tblSelection[[#This Row],[Context A Complaints per 1,000]]),tblSelection[[#This Row],[Insurance &amp; pure protection]]&gt;0), "Yes", "No")</f>
        <v>No</v>
      </c>
      <c r="H143" t="str">
        <f>IF(tblSelection[[#This Row],[Eligible?]]="Yes",1+COUNTIFS(tblSelection[Eligible?],"Yes",tblSelection[Insurance &amp; pure protection],"&gt;"&amp;tblSelection[[#This Row],[Insurance &amp; pure protection]]),"")</f>
        <v/>
      </c>
      <c r="I143" t="s">
        <v>420</v>
      </c>
    </row>
    <row r="144" spans="1:9" x14ac:dyDescent="0.35">
      <c r="A144" t="s">
        <v>356</v>
      </c>
      <c r="B144" t="s">
        <v>355</v>
      </c>
      <c r="C144" t="s">
        <v>63</v>
      </c>
      <c r="D144" t="s">
        <v>64</v>
      </c>
      <c r="E144">
        <v>95</v>
      </c>
      <c r="F144" s="9" t="str">
        <f>_xlfn.XLOOKUP(tblSelection[[#This Row],[Firm Name]],tblContext[Firm Name],tblContext[Insurance &amp; pure protection],"Not found",0)</f>
        <v>Not found</v>
      </c>
      <c r="G144" s="9" t="str">
        <f>IF(AND(tblSelection[[#This Row],[Reporting period]]="2025-07-01 to 2025-12-31", tblSelection[[#This Row],[Joint Reporting]]="no", ISNUMBER(tblSelection[[#This Row],[Context A Complaints per 1,000]]),tblSelection[[#This Row],[Insurance &amp; pure protection]]&gt;0), "Yes", "No")</f>
        <v>No</v>
      </c>
      <c r="H144" t="str">
        <f>IF(tblSelection[[#This Row],[Eligible?]]="Yes",1+COUNTIFS(tblSelection[Eligible?],"Yes",tblSelection[Insurance &amp; pure protection],"&gt;"&amp;tblSelection[[#This Row],[Insurance &amp; pure protection]]),"")</f>
        <v/>
      </c>
      <c r="I144" t="s">
        <v>420</v>
      </c>
    </row>
    <row r="145" spans="1:9" x14ac:dyDescent="0.35">
      <c r="A145" t="s">
        <v>364</v>
      </c>
      <c r="B145" t="s">
        <v>365</v>
      </c>
      <c r="C145" t="s">
        <v>63</v>
      </c>
      <c r="D145" t="s">
        <v>64</v>
      </c>
      <c r="E145">
        <v>314</v>
      </c>
      <c r="F145" s="9" t="str">
        <f>_xlfn.XLOOKUP(tblSelection[[#This Row],[Firm Name]],tblContext[Firm Name],tblContext[Insurance &amp; pure protection],"Not found",0)</f>
        <v>Not found</v>
      </c>
      <c r="G145" s="9" t="str">
        <f>IF(AND(tblSelection[[#This Row],[Reporting period]]="2025-07-01 to 2025-12-31", tblSelection[[#This Row],[Joint Reporting]]="no", ISNUMBER(tblSelection[[#This Row],[Context A Complaints per 1,000]]),tblSelection[[#This Row],[Insurance &amp; pure protection]]&gt;0), "Yes", "No")</f>
        <v>No</v>
      </c>
      <c r="H145" t="str">
        <f>IF(tblSelection[[#This Row],[Eligible?]]="Yes",1+COUNTIFS(tblSelection[Eligible?],"Yes",tblSelection[Insurance &amp; pure protection],"&gt;"&amp;tblSelection[[#This Row],[Insurance &amp; pure protection]]),"")</f>
        <v/>
      </c>
      <c r="I145" t="s">
        <v>420</v>
      </c>
    </row>
    <row r="146" spans="1:9" x14ac:dyDescent="0.35">
      <c r="A146" t="s">
        <v>374</v>
      </c>
      <c r="B146" t="s">
        <v>375</v>
      </c>
      <c r="C146" t="s">
        <v>63</v>
      </c>
      <c r="D146" t="s">
        <v>64</v>
      </c>
      <c r="F146" s="9">
        <f>_xlfn.XLOOKUP(tblSelection[[#This Row],[Firm Name]],tblContext[Firm Name],tblContext[Insurance &amp; pure protection],"Not found",0)</f>
        <v>0</v>
      </c>
      <c r="G146" s="9" t="str">
        <f>IF(AND(tblSelection[[#This Row],[Reporting period]]="2025-07-01 to 2025-12-31", tblSelection[[#This Row],[Joint Reporting]]="no", ISNUMBER(tblSelection[[#This Row],[Context A Complaints per 1,000]]),tblSelection[[#This Row],[Insurance &amp; pure protection]]&gt;0), "Yes", "No")</f>
        <v>No</v>
      </c>
      <c r="H146" t="str">
        <f>IF(tblSelection[[#This Row],[Eligible?]]="Yes",1+COUNTIFS(tblSelection[Eligible?],"Yes",tblSelection[Insurance &amp; pure protection],"&gt;"&amp;tblSelection[[#This Row],[Insurance &amp; pure protection]]),"")</f>
        <v/>
      </c>
      <c r="I146" t="s">
        <v>420</v>
      </c>
    </row>
    <row r="147" spans="1:9" x14ac:dyDescent="0.35">
      <c r="A147" t="s">
        <v>378</v>
      </c>
      <c r="B147" t="s">
        <v>77</v>
      </c>
      <c r="C147" t="s">
        <v>63</v>
      </c>
      <c r="D147" t="s">
        <v>64</v>
      </c>
      <c r="F147" s="9">
        <f>_xlfn.XLOOKUP(tblSelection[[#This Row],[Firm Name]],tblContext[Firm Name],tblContext[Insurance &amp; pure protection],"Not found",0)</f>
        <v>0</v>
      </c>
      <c r="G147" s="9" t="str">
        <f>IF(AND(tblSelection[[#This Row],[Reporting period]]="2025-07-01 to 2025-12-31", tblSelection[[#This Row],[Joint Reporting]]="no", ISNUMBER(tblSelection[[#This Row],[Context A Complaints per 1,000]]),tblSelection[[#This Row],[Insurance &amp; pure protection]]&gt;0), "Yes", "No")</f>
        <v>No</v>
      </c>
      <c r="H147" t="str">
        <f>IF(tblSelection[[#This Row],[Eligible?]]="Yes",1+COUNTIFS(tblSelection[Eligible?],"Yes",tblSelection[Insurance &amp; pure protection],"&gt;"&amp;tblSelection[[#This Row],[Insurance &amp; pure protection]]),"")</f>
        <v/>
      </c>
      <c r="I147" t="s">
        <v>420</v>
      </c>
    </row>
    <row r="148" spans="1:9" x14ac:dyDescent="0.35">
      <c r="A148" t="s">
        <v>379</v>
      </c>
      <c r="B148" t="s">
        <v>77</v>
      </c>
      <c r="C148" t="s">
        <v>63</v>
      </c>
      <c r="D148" t="s">
        <v>64</v>
      </c>
      <c r="E148">
        <v>3</v>
      </c>
      <c r="F148" s="9" t="str">
        <f>_xlfn.XLOOKUP(tblSelection[[#This Row],[Firm Name]],tblContext[Firm Name],tblContext[Insurance &amp; pure protection],"Not found",0)</f>
        <v>Not found</v>
      </c>
      <c r="G148" s="9" t="str">
        <f>IF(AND(tblSelection[[#This Row],[Reporting period]]="2025-07-01 to 2025-12-31", tblSelection[[#This Row],[Joint Reporting]]="no", ISNUMBER(tblSelection[[#This Row],[Context A Complaints per 1,000]]),tblSelection[[#This Row],[Insurance &amp; pure protection]]&gt;0), "Yes", "No")</f>
        <v>No</v>
      </c>
      <c r="H148" t="str">
        <f>IF(tblSelection[[#This Row],[Eligible?]]="Yes",1+COUNTIFS(tblSelection[Eligible?],"Yes",tblSelection[Insurance &amp; pure protection],"&gt;"&amp;tblSelection[[#This Row],[Insurance &amp; pure protection]]),"")</f>
        <v/>
      </c>
      <c r="I148" t="s">
        <v>420</v>
      </c>
    </row>
    <row r="149" spans="1:9" x14ac:dyDescent="0.35">
      <c r="A149" t="s">
        <v>384</v>
      </c>
      <c r="B149" t="s">
        <v>385</v>
      </c>
      <c r="C149" t="s">
        <v>63</v>
      </c>
      <c r="D149" t="s">
        <v>64</v>
      </c>
      <c r="F149" s="9">
        <f>_xlfn.XLOOKUP(tblSelection[[#This Row],[Firm Name]],tblContext[Firm Name],tblContext[Insurance &amp; pure protection],"Not found",0)</f>
        <v>0</v>
      </c>
      <c r="G149" s="9" t="str">
        <f>IF(AND(tblSelection[[#This Row],[Reporting period]]="2025-07-01 to 2025-12-31", tblSelection[[#This Row],[Joint Reporting]]="no", ISNUMBER(tblSelection[[#This Row],[Context A Complaints per 1,000]]),tblSelection[[#This Row],[Insurance &amp; pure protection]]&gt;0), "Yes", "No")</f>
        <v>No</v>
      </c>
      <c r="H149" t="str">
        <f>IF(tblSelection[[#This Row],[Eligible?]]="Yes",1+COUNTIFS(tblSelection[Eligible?],"Yes",tblSelection[Insurance &amp; pure protection],"&gt;"&amp;tblSelection[[#This Row],[Insurance &amp; pure protection]]),"")</f>
        <v/>
      </c>
      <c r="I149" t="s">
        <v>420</v>
      </c>
    </row>
    <row r="150" spans="1:9" x14ac:dyDescent="0.35">
      <c r="A150" t="s">
        <v>386</v>
      </c>
      <c r="B150" t="s">
        <v>387</v>
      </c>
      <c r="C150" t="s">
        <v>63</v>
      </c>
      <c r="D150" t="s">
        <v>64</v>
      </c>
      <c r="F150" s="9">
        <f>_xlfn.XLOOKUP(tblSelection[[#This Row],[Firm Name]],tblContext[Firm Name],tblContext[Insurance &amp; pure protection],"Not found",0)</f>
        <v>0</v>
      </c>
      <c r="G150" s="9" t="str">
        <f>IF(AND(tblSelection[[#This Row],[Reporting period]]="2025-07-01 to 2025-12-31", tblSelection[[#This Row],[Joint Reporting]]="no", ISNUMBER(tblSelection[[#This Row],[Context A Complaints per 1,000]]),tblSelection[[#This Row],[Insurance &amp; pure protection]]&gt;0), "Yes", "No")</f>
        <v>No</v>
      </c>
      <c r="H150" t="str">
        <f>IF(tblSelection[[#This Row],[Eligible?]]="Yes",1+COUNTIFS(tblSelection[Eligible?],"Yes",tblSelection[Insurance &amp; pure protection],"&gt;"&amp;tblSelection[[#This Row],[Insurance &amp; pure protection]]),"")</f>
        <v/>
      </c>
      <c r="I150" t="s">
        <v>420</v>
      </c>
    </row>
    <row r="151" spans="1:9" x14ac:dyDescent="0.35">
      <c r="A151" t="s">
        <v>388</v>
      </c>
      <c r="B151" t="s">
        <v>311</v>
      </c>
      <c r="C151" t="s">
        <v>63</v>
      </c>
      <c r="D151" t="s">
        <v>64</v>
      </c>
      <c r="F151" s="9">
        <f>_xlfn.XLOOKUP(tblSelection[[#This Row],[Firm Name]],tblContext[Firm Name],tblContext[Insurance &amp; pure protection],"Not found",0)</f>
        <v>0</v>
      </c>
      <c r="G151" s="9" t="str">
        <f>IF(AND(tblSelection[[#This Row],[Reporting period]]="2025-07-01 to 2025-12-31", tblSelection[[#This Row],[Joint Reporting]]="no", ISNUMBER(tblSelection[[#This Row],[Context A Complaints per 1,000]]),tblSelection[[#This Row],[Insurance &amp; pure protection]]&gt;0), "Yes", "No")</f>
        <v>No</v>
      </c>
      <c r="H151" t="str">
        <f>IF(tblSelection[[#This Row],[Eligible?]]="Yes",1+COUNTIFS(tblSelection[Eligible?],"Yes",tblSelection[Insurance &amp; pure protection],"&gt;"&amp;tblSelection[[#This Row],[Insurance &amp; pure protection]]),"")</f>
        <v/>
      </c>
      <c r="I151" t="s">
        <v>420</v>
      </c>
    </row>
    <row r="152" spans="1:9" x14ac:dyDescent="0.35">
      <c r="A152" t="s">
        <v>389</v>
      </c>
      <c r="B152" t="s">
        <v>390</v>
      </c>
      <c r="C152" t="s">
        <v>63</v>
      </c>
      <c r="D152" t="s">
        <v>64</v>
      </c>
      <c r="E152">
        <v>629</v>
      </c>
      <c r="F152" s="9" t="str">
        <f>_xlfn.XLOOKUP(tblSelection[[#This Row],[Firm Name]],tblContext[Firm Name],tblContext[Insurance &amp; pure protection],"Not found",0)</f>
        <v>Not found</v>
      </c>
      <c r="G152" s="9" t="str">
        <f>IF(AND(tblSelection[[#This Row],[Reporting period]]="2025-07-01 to 2025-12-31", tblSelection[[#This Row],[Joint Reporting]]="no", ISNUMBER(tblSelection[[#This Row],[Context A Complaints per 1,000]]),tblSelection[[#This Row],[Insurance &amp; pure protection]]&gt;0), "Yes", "No")</f>
        <v>No</v>
      </c>
      <c r="H152" t="str">
        <f>IF(tblSelection[[#This Row],[Eligible?]]="Yes",1+COUNTIFS(tblSelection[Eligible?],"Yes",tblSelection[Insurance &amp; pure protection],"&gt;"&amp;tblSelection[[#This Row],[Insurance &amp; pure protection]]),"")</f>
        <v/>
      </c>
      <c r="I152" t="s">
        <v>420</v>
      </c>
    </row>
    <row r="153" spans="1:9" x14ac:dyDescent="0.35">
      <c r="A153" t="s">
        <v>393</v>
      </c>
      <c r="B153" t="s">
        <v>394</v>
      </c>
      <c r="C153" t="s">
        <v>63</v>
      </c>
      <c r="D153" t="s">
        <v>64</v>
      </c>
      <c r="F153" s="9">
        <f>_xlfn.XLOOKUP(tblSelection[[#This Row],[Firm Name]],tblContext[Firm Name],tblContext[Insurance &amp; pure protection],"Not found",0)</f>
        <v>0</v>
      </c>
      <c r="G153" s="9" t="str">
        <f>IF(AND(tblSelection[[#This Row],[Reporting period]]="2025-07-01 to 2025-12-31", tblSelection[[#This Row],[Joint Reporting]]="no", ISNUMBER(tblSelection[[#This Row],[Context A Complaints per 1,000]]),tblSelection[[#This Row],[Insurance &amp; pure protection]]&gt;0), "Yes", "No")</f>
        <v>No</v>
      </c>
      <c r="H153" t="str">
        <f>IF(tblSelection[[#This Row],[Eligible?]]="Yes",1+COUNTIFS(tblSelection[Eligible?],"Yes",tblSelection[Insurance &amp; pure protection],"&gt;"&amp;tblSelection[[#This Row],[Insurance &amp; pure protection]]),"")</f>
        <v/>
      </c>
      <c r="I153" t="s">
        <v>420</v>
      </c>
    </row>
    <row r="154" spans="1:9" x14ac:dyDescent="0.35">
      <c r="A154" t="s">
        <v>395</v>
      </c>
      <c r="B154" t="s">
        <v>396</v>
      </c>
      <c r="C154" t="s">
        <v>63</v>
      </c>
      <c r="D154" t="s">
        <v>64</v>
      </c>
      <c r="F154" s="9">
        <f>_xlfn.XLOOKUP(tblSelection[[#This Row],[Firm Name]],tblContext[Firm Name],tblContext[Insurance &amp; pure protection],"Not found",0)</f>
        <v>0</v>
      </c>
      <c r="G154" s="9" t="str">
        <f>IF(AND(tblSelection[[#This Row],[Reporting period]]="2025-07-01 to 2025-12-31", tblSelection[[#This Row],[Joint Reporting]]="no", ISNUMBER(tblSelection[[#This Row],[Context A Complaints per 1,000]]),tblSelection[[#This Row],[Insurance &amp; pure protection]]&gt;0), "Yes", "No")</f>
        <v>No</v>
      </c>
      <c r="H154" t="str">
        <f>IF(tblSelection[[#This Row],[Eligible?]]="Yes",1+COUNTIFS(tblSelection[Eligible?],"Yes",tblSelection[Insurance &amp; pure protection],"&gt;"&amp;tblSelection[[#This Row],[Insurance &amp; pure protection]]),"")</f>
        <v/>
      </c>
      <c r="I154" t="s">
        <v>420</v>
      </c>
    </row>
    <row r="155" spans="1:9" x14ac:dyDescent="0.35">
      <c r="A155" t="s">
        <v>401</v>
      </c>
      <c r="B155" t="s">
        <v>402</v>
      </c>
      <c r="C155" t="s">
        <v>63</v>
      </c>
      <c r="D155" t="s">
        <v>64</v>
      </c>
      <c r="E155">
        <v>15</v>
      </c>
      <c r="F155" s="9" t="str">
        <f>_xlfn.XLOOKUP(tblSelection[[#This Row],[Firm Name]],tblContext[Firm Name],tblContext[Insurance &amp; pure protection],"Not found",0)</f>
        <v>Not found</v>
      </c>
      <c r="G155" s="9" t="str">
        <f>IF(AND(tblSelection[[#This Row],[Reporting period]]="2025-07-01 to 2025-12-31", tblSelection[[#This Row],[Joint Reporting]]="no", ISNUMBER(tblSelection[[#This Row],[Context A Complaints per 1,000]]),tblSelection[[#This Row],[Insurance &amp; pure protection]]&gt;0), "Yes", "No")</f>
        <v>No</v>
      </c>
      <c r="H155" t="str">
        <f>IF(tblSelection[[#This Row],[Eligible?]]="Yes",1+COUNTIFS(tblSelection[Eligible?],"Yes",tblSelection[Insurance &amp; pure protection],"&gt;"&amp;tblSelection[[#This Row],[Insurance &amp; pure protection]]),"")</f>
        <v/>
      </c>
      <c r="I155" t="s">
        <v>420</v>
      </c>
    </row>
    <row r="156" spans="1:9" x14ac:dyDescent="0.35">
      <c r="A156" t="s">
        <v>404</v>
      </c>
      <c r="B156" t="s">
        <v>102</v>
      </c>
      <c r="C156" t="s">
        <v>63</v>
      </c>
      <c r="D156" t="s">
        <v>64</v>
      </c>
      <c r="E156">
        <v>507</v>
      </c>
      <c r="F156" s="9" t="str">
        <f>_xlfn.XLOOKUP(tblSelection[[#This Row],[Firm Name]],tblContext[Firm Name],tblContext[Insurance &amp; pure protection],"Not found",0)</f>
        <v>Not found</v>
      </c>
      <c r="G156" s="9" t="str">
        <f>IF(AND(tblSelection[[#This Row],[Reporting period]]="2025-07-01 to 2025-12-31", tblSelection[[#This Row],[Joint Reporting]]="no", ISNUMBER(tblSelection[[#This Row],[Context A Complaints per 1,000]]),tblSelection[[#This Row],[Insurance &amp; pure protection]]&gt;0), "Yes", "No")</f>
        <v>No</v>
      </c>
      <c r="H156" t="str">
        <f>IF(tblSelection[[#This Row],[Eligible?]]="Yes",1+COUNTIFS(tblSelection[Eligible?],"Yes",tblSelection[Insurance &amp; pure protection],"&gt;"&amp;tblSelection[[#This Row],[Insurance &amp; pure protection]]),"")</f>
        <v/>
      </c>
      <c r="I156" t="s">
        <v>420</v>
      </c>
    </row>
    <row r="157" spans="1:9" x14ac:dyDescent="0.35">
      <c r="A157" t="s">
        <v>405</v>
      </c>
      <c r="B157" t="s">
        <v>406</v>
      </c>
      <c r="C157" t="s">
        <v>63</v>
      </c>
      <c r="D157" t="s">
        <v>64</v>
      </c>
      <c r="E157" s="10">
        <v>1240</v>
      </c>
      <c r="F157" s="9" t="str">
        <f>_xlfn.XLOOKUP(tblSelection[[#This Row],[Firm Name]],tblContext[Firm Name],tblContext[Insurance &amp; pure protection],"Not found",0)</f>
        <v>Not found</v>
      </c>
      <c r="G157" s="9" t="str">
        <f>IF(AND(tblSelection[[#This Row],[Reporting period]]="2025-07-01 to 2025-12-31", tblSelection[[#This Row],[Joint Reporting]]="no", ISNUMBER(tblSelection[[#This Row],[Context A Complaints per 1,000]]),tblSelection[[#This Row],[Insurance &amp; pure protection]]&gt;0), "Yes", "No")</f>
        <v>No</v>
      </c>
      <c r="H157" t="str">
        <f>IF(tblSelection[[#This Row],[Eligible?]]="Yes",1+COUNTIFS(tblSelection[Eligible?],"Yes",tblSelection[Insurance &amp; pure protection],"&gt;"&amp;tblSelection[[#This Row],[Insurance &amp; pure protection]]),"")</f>
        <v/>
      </c>
      <c r="I157" t="s">
        <v>420</v>
      </c>
    </row>
    <row r="158" spans="1:9" x14ac:dyDescent="0.35">
      <c r="A158" t="s">
        <v>410</v>
      </c>
      <c r="B158" t="s">
        <v>411</v>
      </c>
      <c r="C158" t="s">
        <v>63</v>
      </c>
      <c r="D158" t="s">
        <v>64</v>
      </c>
      <c r="F158" s="9">
        <f>_xlfn.XLOOKUP(tblSelection[[#This Row],[Firm Name]],tblContext[Firm Name],tblContext[Insurance &amp; pure protection],"Not found",0)</f>
        <v>0</v>
      </c>
      <c r="G158" s="9" t="str">
        <f>IF(AND(tblSelection[[#This Row],[Reporting period]]="2025-07-01 to 2025-12-31", tblSelection[[#This Row],[Joint Reporting]]="no", ISNUMBER(tblSelection[[#This Row],[Context A Complaints per 1,000]]),tblSelection[[#This Row],[Insurance &amp; pure protection]]&gt;0), "Yes", "No")</f>
        <v>No</v>
      </c>
      <c r="H158" t="str">
        <f>IF(tblSelection[[#This Row],[Eligible?]]="Yes",1+COUNTIFS(tblSelection[Eligible?],"Yes",tblSelection[Insurance &amp; pure protection],"&gt;"&amp;tblSelection[[#This Row],[Insurance &amp; pure protection]]),"")</f>
        <v/>
      </c>
      <c r="I158" t="s">
        <v>420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4E0D-385C-4CD4-95D3-9B9252BA3197}">
  <dimension ref="A1:J220"/>
  <sheetViews>
    <sheetView zoomScale="50" workbookViewId="0">
      <selection activeCell="E11" sqref="E11"/>
    </sheetView>
  </sheetViews>
  <sheetFormatPr defaultRowHeight="14.5" x14ac:dyDescent="0.35"/>
  <cols>
    <col min="1" max="1" width="58" bestFit="1" customWidth="1"/>
    <col min="2" max="2" width="44.81640625" bestFit="1" customWidth="1"/>
    <col min="3" max="3" width="16.7265625" customWidth="1"/>
    <col min="4" max="4" width="22.81640625" bestFit="1" customWidth="1"/>
    <col min="5" max="5" width="24.81640625" customWidth="1"/>
    <col min="6" max="6" width="26.26953125" customWidth="1"/>
    <col min="7" max="7" width="15.7265625" customWidth="1"/>
    <col min="8" max="8" width="28.1796875" customWidth="1"/>
    <col min="9" max="9" width="14.453125" customWidth="1"/>
    <col min="10" max="10" width="13.453125" customWidth="1"/>
  </cols>
  <sheetData>
    <row r="1" spans="1:10" x14ac:dyDescent="0.35">
      <c r="A1" t="s">
        <v>52</v>
      </c>
      <c r="B1" t="s">
        <v>53</v>
      </c>
      <c r="C1" t="s">
        <v>54</v>
      </c>
      <c r="D1" t="s">
        <v>7</v>
      </c>
      <c r="E1" t="s">
        <v>55</v>
      </c>
      <c r="F1" t="s">
        <v>56</v>
      </c>
      <c r="G1" t="s">
        <v>57</v>
      </c>
      <c r="H1" t="s">
        <v>58</v>
      </c>
      <c r="I1" t="s">
        <v>59</v>
      </c>
      <c r="J1" t="s">
        <v>60</v>
      </c>
    </row>
    <row r="2" spans="1:10" x14ac:dyDescent="0.35">
      <c r="A2" t="s">
        <v>61</v>
      </c>
      <c r="B2" t="s">
        <v>62</v>
      </c>
      <c r="C2" t="s">
        <v>63</v>
      </c>
      <c r="D2" t="s">
        <v>64</v>
      </c>
      <c r="E2">
        <v>14</v>
      </c>
      <c r="G2">
        <v>936</v>
      </c>
      <c r="H2" s="10"/>
      <c r="J2" s="11">
        <v>950</v>
      </c>
    </row>
    <row r="3" spans="1:10" x14ac:dyDescent="0.35">
      <c r="A3" t="s">
        <v>65</v>
      </c>
      <c r="B3" t="s">
        <v>66</v>
      </c>
      <c r="C3" t="s">
        <v>63</v>
      </c>
      <c r="D3" t="s">
        <v>64</v>
      </c>
      <c r="H3" s="10">
        <v>4337</v>
      </c>
      <c r="J3" s="11">
        <v>4337</v>
      </c>
    </row>
    <row r="4" spans="1:10" x14ac:dyDescent="0.35">
      <c r="A4" t="s">
        <v>67</v>
      </c>
      <c r="B4" t="s">
        <v>68</v>
      </c>
      <c r="C4" t="s">
        <v>63</v>
      </c>
      <c r="D4" t="s">
        <v>64</v>
      </c>
      <c r="E4" s="10"/>
      <c r="H4">
        <v>636</v>
      </c>
      <c r="J4" s="11">
        <v>636</v>
      </c>
    </row>
    <row r="5" spans="1:10" x14ac:dyDescent="0.35">
      <c r="A5" t="s">
        <v>69</v>
      </c>
      <c r="B5" t="s">
        <v>70</v>
      </c>
      <c r="C5" t="s">
        <v>63</v>
      </c>
      <c r="D5" t="s">
        <v>64</v>
      </c>
      <c r="E5" s="10"/>
      <c r="G5" s="10"/>
      <c r="H5">
        <v>766</v>
      </c>
      <c r="J5" s="11">
        <v>766</v>
      </c>
    </row>
    <row r="6" spans="1:10" hidden="1" x14ac:dyDescent="0.35">
      <c r="A6" t="s">
        <v>71</v>
      </c>
      <c r="B6" t="s">
        <v>72</v>
      </c>
      <c r="C6" t="s">
        <v>63</v>
      </c>
      <c r="D6" t="s">
        <v>73</v>
      </c>
      <c r="H6" s="10">
        <v>1840</v>
      </c>
      <c r="J6" s="11">
        <v>1840</v>
      </c>
    </row>
    <row r="7" spans="1:10" x14ac:dyDescent="0.35">
      <c r="A7" t="s">
        <v>74</v>
      </c>
      <c r="B7" t="s">
        <v>75</v>
      </c>
      <c r="C7" t="s">
        <v>63</v>
      </c>
      <c r="D7" t="s">
        <v>64</v>
      </c>
      <c r="G7" s="10">
        <v>16</v>
      </c>
      <c r="J7" s="11">
        <v>16</v>
      </c>
    </row>
    <row r="8" spans="1:10" hidden="1" x14ac:dyDescent="0.35">
      <c r="A8" t="s">
        <v>76</v>
      </c>
      <c r="B8" t="s">
        <v>77</v>
      </c>
      <c r="C8" t="s">
        <v>63</v>
      </c>
      <c r="D8" t="s">
        <v>78</v>
      </c>
      <c r="E8" s="10"/>
      <c r="H8" s="10">
        <v>2518</v>
      </c>
      <c r="J8" s="11">
        <v>2518</v>
      </c>
    </row>
    <row r="9" spans="1:10" x14ac:dyDescent="0.35">
      <c r="A9" t="s">
        <v>79</v>
      </c>
      <c r="B9" t="s">
        <v>80</v>
      </c>
      <c r="C9" t="s">
        <v>63</v>
      </c>
      <c r="D9" t="s">
        <v>64</v>
      </c>
      <c r="E9" s="10"/>
      <c r="H9">
        <v>651</v>
      </c>
      <c r="J9" s="11">
        <v>651</v>
      </c>
    </row>
    <row r="10" spans="1:10" x14ac:dyDescent="0.35">
      <c r="A10" t="s">
        <v>81</v>
      </c>
      <c r="B10" t="s">
        <v>82</v>
      </c>
      <c r="C10" t="s">
        <v>63</v>
      </c>
      <c r="D10" t="s">
        <v>64</v>
      </c>
      <c r="H10" s="10">
        <v>4403</v>
      </c>
      <c r="J10" s="11">
        <v>4403</v>
      </c>
    </row>
    <row r="11" spans="1:10" x14ac:dyDescent="0.35">
      <c r="A11" t="s">
        <v>83</v>
      </c>
      <c r="B11" t="s">
        <v>82</v>
      </c>
      <c r="C11" t="s">
        <v>63</v>
      </c>
      <c r="D11" t="s">
        <v>64</v>
      </c>
      <c r="H11" s="10">
        <v>909</v>
      </c>
      <c r="J11" s="11">
        <v>909</v>
      </c>
    </row>
    <row r="12" spans="1:10" hidden="1" x14ac:dyDescent="0.35">
      <c r="A12" t="s">
        <v>84</v>
      </c>
      <c r="B12" t="s">
        <v>85</v>
      </c>
      <c r="C12" t="s">
        <v>86</v>
      </c>
      <c r="D12" t="s">
        <v>64</v>
      </c>
      <c r="H12" s="10">
        <v>1554</v>
      </c>
      <c r="J12" s="11">
        <v>1554</v>
      </c>
    </row>
    <row r="13" spans="1:10" hidden="1" x14ac:dyDescent="0.35">
      <c r="A13" t="s">
        <v>87</v>
      </c>
      <c r="B13" t="s">
        <v>88</v>
      </c>
      <c r="C13" t="s">
        <v>63</v>
      </c>
      <c r="D13" t="s">
        <v>78</v>
      </c>
      <c r="F13" s="10">
        <v>1051</v>
      </c>
      <c r="I13" s="10"/>
      <c r="J13" s="11">
        <v>1051</v>
      </c>
    </row>
    <row r="14" spans="1:10" hidden="1" x14ac:dyDescent="0.35">
      <c r="A14" t="s">
        <v>89</v>
      </c>
      <c r="B14" t="s">
        <v>88</v>
      </c>
      <c r="C14" t="s">
        <v>63</v>
      </c>
      <c r="D14" t="s">
        <v>78</v>
      </c>
      <c r="E14">
        <v>44</v>
      </c>
      <c r="F14">
        <v>316</v>
      </c>
      <c r="H14" s="10"/>
      <c r="I14" s="10">
        <v>1140</v>
      </c>
      <c r="J14" s="11">
        <v>1500</v>
      </c>
    </row>
    <row r="15" spans="1:10" x14ac:dyDescent="0.35">
      <c r="A15" t="s">
        <v>90</v>
      </c>
      <c r="B15" t="s">
        <v>91</v>
      </c>
      <c r="C15" t="s">
        <v>63</v>
      </c>
      <c r="D15" t="s">
        <v>64</v>
      </c>
      <c r="E15">
        <v>754</v>
      </c>
      <c r="G15">
        <v>691</v>
      </c>
      <c r="J15" s="11">
        <v>1445</v>
      </c>
    </row>
    <row r="16" spans="1:10" x14ac:dyDescent="0.35">
      <c r="A16" t="s">
        <v>92</v>
      </c>
      <c r="B16" t="s">
        <v>93</v>
      </c>
      <c r="C16" t="s">
        <v>63</v>
      </c>
      <c r="D16" t="s">
        <v>64</v>
      </c>
      <c r="H16" s="10">
        <v>2908</v>
      </c>
      <c r="J16" s="11">
        <v>2908</v>
      </c>
    </row>
    <row r="17" spans="1:10" x14ac:dyDescent="0.35">
      <c r="A17" t="s">
        <v>94</v>
      </c>
      <c r="B17" t="s">
        <v>95</v>
      </c>
      <c r="C17" t="s">
        <v>63</v>
      </c>
      <c r="D17" t="s">
        <v>64</v>
      </c>
      <c r="E17" s="10">
        <v>14708</v>
      </c>
      <c r="H17" s="10">
        <v>106</v>
      </c>
      <c r="J17" s="11">
        <v>14814</v>
      </c>
    </row>
    <row r="18" spans="1:10" x14ac:dyDescent="0.35">
      <c r="A18" t="s">
        <v>96</v>
      </c>
      <c r="B18" t="s">
        <v>97</v>
      </c>
      <c r="C18" t="s">
        <v>63</v>
      </c>
      <c r="D18" t="s">
        <v>64</v>
      </c>
      <c r="H18" s="10">
        <v>955</v>
      </c>
      <c r="J18" s="11">
        <v>955</v>
      </c>
    </row>
    <row r="19" spans="1:10" x14ac:dyDescent="0.35">
      <c r="A19" t="s">
        <v>98</v>
      </c>
      <c r="B19" t="s">
        <v>99</v>
      </c>
      <c r="C19" t="s">
        <v>63</v>
      </c>
      <c r="D19" t="s">
        <v>64</v>
      </c>
      <c r="H19" s="10">
        <v>1976</v>
      </c>
      <c r="J19" s="11">
        <v>1976</v>
      </c>
    </row>
    <row r="20" spans="1:10" x14ac:dyDescent="0.35">
      <c r="A20" t="s">
        <v>100</v>
      </c>
      <c r="B20" t="s">
        <v>77</v>
      </c>
      <c r="C20" t="s">
        <v>63</v>
      </c>
      <c r="D20" t="s">
        <v>64</v>
      </c>
      <c r="E20" s="10"/>
      <c r="H20" s="10">
        <v>3482</v>
      </c>
      <c r="J20" s="11">
        <v>3482</v>
      </c>
    </row>
    <row r="21" spans="1:10" x14ac:dyDescent="0.35">
      <c r="A21" t="s">
        <v>101</v>
      </c>
      <c r="B21" t="s">
        <v>102</v>
      </c>
      <c r="C21" t="s">
        <v>63</v>
      </c>
      <c r="D21" t="s">
        <v>64</v>
      </c>
      <c r="H21" s="10">
        <v>650</v>
      </c>
      <c r="J21" s="11">
        <v>650</v>
      </c>
    </row>
    <row r="22" spans="1:10" x14ac:dyDescent="0.35">
      <c r="A22" t="s">
        <v>103</v>
      </c>
      <c r="B22" t="s">
        <v>104</v>
      </c>
      <c r="C22" t="s">
        <v>63</v>
      </c>
      <c r="D22" t="s">
        <v>64</v>
      </c>
      <c r="H22" s="10">
        <v>2976</v>
      </c>
      <c r="J22" s="11">
        <v>2976</v>
      </c>
    </row>
    <row r="23" spans="1:10" hidden="1" x14ac:dyDescent="0.35">
      <c r="A23" t="s">
        <v>105</v>
      </c>
      <c r="B23" t="s">
        <v>106</v>
      </c>
      <c r="C23" t="s">
        <v>86</v>
      </c>
      <c r="D23" t="s">
        <v>64</v>
      </c>
      <c r="H23" s="10">
        <v>977</v>
      </c>
      <c r="J23" s="11">
        <v>977</v>
      </c>
    </row>
    <row r="24" spans="1:10" hidden="1" x14ac:dyDescent="0.35">
      <c r="A24" t="s">
        <v>107</v>
      </c>
      <c r="B24" t="s">
        <v>108</v>
      </c>
      <c r="C24" t="s">
        <v>63</v>
      </c>
      <c r="D24" t="s">
        <v>109</v>
      </c>
      <c r="E24">
        <v>68</v>
      </c>
      <c r="G24">
        <v>446</v>
      </c>
      <c r="J24" s="11">
        <v>514</v>
      </c>
    </row>
    <row r="25" spans="1:10" x14ac:dyDescent="0.35">
      <c r="A25" t="s">
        <v>110</v>
      </c>
      <c r="B25" t="s">
        <v>111</v>
      </c>
      <c r="C25" t="s">
        <v>63</v>
      </c>
      <c r="D25" t="s">
        <v>64</v>
      </c>
      <c r="H25" s="10">
        <v>6731</v>
      </c>
      <c r="J25" s="11">
        <v>6731</v>
      </c>
    </row>
    <row r="26" spans="1:10" hidden="1" x14ac:dyDescent="0.35">
      <c r="A26" t="s">
        <v>112</v>
      </c>
      <c r="B26" t="s">
        <v>113</v>
      </c>
      <c r="C26" t="s">
        <v>63</v>
      </c>
      <c r="D26" t="s">
        <v>109</v>
      </c>
      <c r="G26" s="10"/>
      <c r="H26" s="10">
        <v>2862</v>
      </c>
      <c r="J26" s="11">
        <v>2862</v>
      </c>
    </row>
    <row r="27" spans="1:10" x14ac:dyDescent="0.35">
      <c r="A27" t="s">
        <v>114</v>
      </c>
      <c r="B27" t="s">
        <v>115</v>
      </c>
      <c r="C27" t="s">
        <v>63</v>
      </c>
      <c r="D27" t="s">
        <v>64</v>
      </c>
      <c r="E27" s="10"/>
      <c r="G27" s="10"/>
      <c r="H27" s="10">
        <v>1566</v>
      </c>
      <c r="J27" s="11">
        <v>1566</v>
      </c>
    </row>
    <row r="28" spans="1:10" x14ac:dyDescent="0.35">
      <c r="A28" t="s">
        <v>116</v>
      </c>
      <c r="B28" t="s">
        <v>68</v>
      </c>
      <c r="C28" t="s">
        <v>63</v>
      </c>
      <c r="D28" t="s">
        <v>64</v>
      </c>
      <c r="F28" s="10"/>
      <c r="H28" s="10">
        <v>8517</v>
      </c>
      <c r="J28" s="11">
        <v>8517</v>
      </c>
    </row>
    <row r="29" spans="1:10" hidden="1" x14ac:dyDescent="0.35">
      <c r="A29" t="s">
        <v>117</v>
      </c>
      <c r="B29" t="s">
        <v>118</v>
      </c>
      <c r="C29" t="s">
        <v>63</v>
      </c>
      <c r="D29" t="s">
        <v>73</v>
      </c>
      <c r="H29" s="10">
        <v>6657</v>
      </c>
      <c r="J29" s="11">
        <v>6657</v>
      </c>
    </row>
    <row r="30" spans="1:10" x14ac:dyDescent="0.35">
      <c r="A30" t="s">
        <v>119</v>
      </c>
      <c r="B30" t="s">
        <v>120</v>
      </c>
      <c r="C30" t="s">
        <v>63</v>
      </c>
      <c r="D30" t="s">
        <v>64</v>
      </c>
      <c r="H30" s="10">
        <v>1100</v>
      </c>
      <c r="J30" s="11">
        <v>1100</v>
      </c>
    </row>
    <row r="31" spans="1:10" x14ac:dyDescent="0.35">
      <c r="A31" t="s">
        <v>121</v>
      </c>
      <c r="B31" t="s">
        <v>122</v>
      </c>
      <c r="C31" t="s">
        <v>63</v>
      </c>
      <c r="D31" t="s">
        <v>64</v>
      </c>
      <c r="E31" s="10"/>
      <c r="H31" s="10">
        <v>1236</v>
      </c>
      <c r="J31" s="11">
        <v>1236</v>
      </c>
    </row>
    <row r="32" spans="1:10" x14ac:dyDescent="0.35">
      <c r="A32" t="s">
        <v>123</v>
      </c>
      <c r="B32" t="s">
        <v>122</v>
      </c>
      <c r="C32" t="s">
        <v>63</v>
      </c>
      <c r="D32" t="s">
        <v>64</v>
      </c>
      <c r="E32" s="10"/>
      <c r="H32" s="10">
        <v>49795</v>
      </c>
      <c r="J32" s="11">
        <v>49795</v>
      </c>
    </row>
    <row r="33" spans="1:10" x14ac:dyDescent="0.35">
      <c r="A33" t="s">
        <v>124</v>
      </c>
      <c r="B33" t="s">
        <v>122</v>
      </c>
      <c r="C33" t="s">
        <v>63</v>
      </c>
      <c r="D33" t="s">
        <v>64</v>
      </c>
      <c r="F33" s="10">
        <v>17892</v>
      </c>
      <c r="G33">
        <v>730</v>
      </c>
      <c r="H33" s="10">
        <v>4523</v>
      </c>
      <c r="I33" s="10">
        <v>2986</v>
      </c>
      <c r="J33" s="11">
        <v>26131</v>
      </c>
    </row>
    <row r="34" spans="1:10" x14ac:dyDescent="0.35">
      <c r="A34" t="s">
        <v>125</v>
      </c>
      <c r="B34" t="s">
        <v>122</v>
      </c>
      <c r="C34" t="s">
        <v>63</v>
      </c>
      <c r="D34" t="s">
        <v>64</v>
      </c>
      <c r="H34">
        <v>760</v>
      </c>
      <c r="J34" s="11">
        <v>760</v>
      </c>
    </row>
    <row r="35" spans="1:10" hidden="1" x14ac:dyDescent="0.35">
      <c r="A35" t="s">
        <v>126</v>
      </c>
      <c r="B35" t="s">
        <v>93</v>
      </c>
      <c r="C35" t="s">
        <v>86</v>
      </c>
      <c r="D35" t="s">
        <v>64</v>
      </c>
      <c r="H35" s="10">
        <v>3144</v>
      </c>
      <c r="J35" s="11">
        <v>3144</v>
      </c>
    </row>
    <row r="36" spans="1:10" hidden="1" x14ac:dyDescent="0.35">
      <c r="A36" t="s">
        <v>127</v>
      </c>
      <c r="B36" t="s">
        <v>93</v>
      </c>
      <c r="C36" t="s">
        <v>86</v>
      </c>
      <c r="D36" t="s">
        <v>64</v>
      </c>
      <c r="H36" s="10">
        <v>2042</v>
      </c>
      <c r="J36" s="11">
        <v>2042</v>
      </c>
    </row>
    <row r="37" spans="1:10" x14ac:dyDescent="0.35">
      <c r="A37" t="s">
        <v>128</v>
      </c>
      <c r="B37" t="s">
        <v>129</v>
      </c>
      <c r="C37" t="s">
        <v>63</v>
      </c>
      <c r="D37" t="s">
        <v>64</v>
      </c>
      <c r="H37" s="10">
        <v>1817</v>
      </c>
      <c r="J37" s="11">
        <v>1817</v>
      </c>
    </row>
    <row r="38" spans="1:10" x14ac:dyDescent="0.35">
      <c r="A38" t="s">
        <v>130</v>
      </c>
      <c r="B38" t="s">
        <v>129</v>
      </c>
      <c r="C38" t="s">
        <v>63</v>
      </c>
      <c r="D38" t="s">
        <v>64</v>
      </c>
      <c r="H38" s="10">
        <v>16052</v>
      </c>
      <c r="J38" s="11">
        <v>16052</v>
      </c>
    </row>
    <row r="39" spans="1:10" x14ac:dyDescent="0.35">
      <c r="A39" t="s">
        <v>131</v>
      </c>
      <c r="B39" t="s">
        <v>129</v>
      </c>
      <c r="C39" t="s">
        <v>63</v>
      </c>
      <c r="D39" t="s">
        <v>64</v>
      </c>
      <c r="H39" s="10">
        <v>19555</v>
      </c>
      <c r="J39" s="11">
        <v>19555</v>
      </c>
    </row>
    <row r="40" spans="1:10" hidden="1" x14ac:dyDescent="0.35">
      <c r="A40" t="s">
        <v>132</v>
      </c>
      <c r="B40" t="s">
        <v>133</v>
      </c>
      <c r="C40" t="s">
        <v>86</v>
      </c>
      <c r="D40" t="s">
        <v>64</v>
      </c>
      <c r="E40" s="10">
        <v>1734</v>
      </c>
      <c r="G40">
        <v>881</v>
      </c>
      <c r="H40">
        <v>26</v>
      </c>
      <c r="I40">
        <v>2</v>
      </c>
      <c r="J40" s="11">
        <v>2643</v>
      </c>
    </row>
    <row r="41" spans="1:10" x14ac:dyDescent="0.35">
      <c r="A41" t="s">
        <v>134</v>
      </c>
      <c r="B41" t="s">
        <v>135</v>
      </c>
      <c r="C41" t="s">
        <v>63</v>
      </c>
      <c r="D41" t="s">
        <v>64</v>
      </c>
      <c r="E41" s="10">
        <v>67071</v>
      </c>
      <c r="F41">
        <v>13</v>
      </c>
      <c r="G41" s="10">
        <v>12223</v>
      </c>
      <c r="H41">
        <v>171</v>
      </c>
      <c r="I41">
        <v>30</v>
      </c>
      <c r="J41" s="11">
        <v>79508</v>
      </c>
    </row>
    <row r="42" spans="1:10" x14ac:dyDescent="0.35">
      <c r="A42" t="s">
        <v>136</v>
      </c>
      <c r="B42" t="s">
        <v>137</v>
      </c>
      <c r="C42" t="s">
        <v>63</v>
      </c>
      <c r="D42" t="s">
        <v>64</v>
      </c>
      <c r="E42" s="10">
        <v>9293</v>
      </c>
      <c r="F42">
        <v>66</v>
      </c>
      <c r="G42">
        <v>1</v>
      </c>
      <c r="H42">
        <v>1</v>
      </c>
      <c r="I42" s="10">
        <v>1055</v>
      </c>
      <c r="J42" s="11">
        <v>10416</v>
      </c>
    </row>
    <row r="43" spans="1:10" x14ac:dyDescent="0.35">
      <c r="A43" t="s">
        <v>138</v>
      </c>
      <c r="B43" t="s">
        <v>137</v>
      </c>
      <c r="C43" t="s">
        <v>63</v>
      </c>
      <c r="D43" t="s">
        <v>64</v>
      </c>
      <c r="E43" s="10">
        <v>80470</v>
      </c>
      <c r="F43">
        <v>1</v>
      </c>
      <c r="G43" s="10">
        <v>5356</v>
      </c>
      <c r="H43">
        <v>148</v>
      </c>
      <c r="I43">
        <v>21</v>
      </c>
      <c r="J43" s="11">
        <v>85996</v>
      </c>
    </row>
    <row r="44" spans="1:10" x14ac:dyDescent="0.35">
      <c r="A44" t="s">
        <v>139</v>
      </c>
      <c r="B44" t="s">
        <v>68</v>
      </c>
      <c r="C44" t="s">
        <v>63</v>
      </c>
      <c r="D44" t="s">
        <v>64</v>
      </c>
      <c r="H44" s="10">
        <v>11577</v>
      </c>
      <c r="J44" s="11">
        <v>11577</v>
      </c>
    </row>
    <row r="45" spans="1:10" hidden="1" x14ac:dyDescent="0.35">
      <c r="A45" t="s">
        <v>140</v>
      </c>
      <c r="B45" t="s">
        <v>141</v>
      </c>
      <c r="C45" t="s">
        <v>86</v>
      </c>
      <c r="D45" t="s">
        <v>64</v>
      </c>
      <c r="H45" s="10">
        <v>49016</v>
      </c>
      <c r="J45" s="11">
        <v>49016</v>
      </c>
    </row>
    <row r="46" spans="1:10" hidden="1" x14ac:dyDescent="0.35">
      <c r="A46" t="s">
        <v>142</v>
      </c>
      <c r="B46" t="s">
        <v>143</v>
      </c>
      <c r="C46" t="s">
        <v>86</v>
      </c>
      <c r="D46" t="s">
        <v>64</v>
      </c>
      <c r="H46" s="10">
        <v>28091</v>
      </c>
      <c r="J46" s="11">
        <v>28091</v>
      </c>
    </row>
    <row r="47" spans="1:10" x14ac:dyDescent="0.35">
      <c r="A47" t="s">
        <v>144</v>
      </c>
      <c r="B47" t="s">
        <v>145</v>
      </c>
      <c r="C47" t="s">
        <v>63</v>
      </c>
      <c r="D47" t="s">
        <v>64</v>
      </c>
      <c r="G47">
        <v>35</v>
      </c>
      <c r="J47" s="11">
        <v>35</v>
      </c>
    </row>
    <row r="48" spans="1:10" hidden="1" x14ac:dyDescent="0.35">
      <c r="A48" t="s">
        <v>146</v>
      </c>
      <c r="B48" t="s">
        <v>147</v>
      </c>
      <c r="C48" t="s">
        <v>63</v>
      </c>
      <c r="D48" t="s">
        <v>109</v>
      </c>
      <c r="E48" s="10">
        <v>1060</v>
      </c>
      <c r="J48" s="11">
        <v>1060</v>
      </c>
    </row>
    <row r="49" spans="1:10" hidden="1" x14ac:dyDescent="0.35">
      <c r="A49" t="s">
        <v>148</v>
      </c>
      <c r="B49" t="s">
        <v>77</v>
      </c>
      <c r="C49" t="s">
        <v>63</v>
      </c>
      <c r="D49" t="s">
        <v>109</v>
      </c>
      <c r="H49">
        <v>724</v>
      </c>
      <c r="J49" s="11">
        <v>724</v>
      </c>
    </row>
    <row r="50" spans="1:10" x14ac:dyDescent="0.35">
      <c r="A50" t="s">
        <v>149</v>
      </c>
      <c r="B50" t="s">
        <v>150</v>
      </c>
      <c r="C50" t="s">
        <v>63</v>
      </c>
      <c r="D50" t="s">
        <v>64</v>
      </c>
      <c r="F50">
        <v>324</v>
      </c>
      <c r="H50">
        <v>183</v>
      </c>
      <c r="I50">
        <v>39</v>
      </c>
      <c r="J50" s="11">
        <v>546</v>
      </c>
    </row>
    <row r="51" spans="1:10" x14ac:dyDescent="0.35">
      <c r="A51" t="s">
        <v>151</v>
      </c>
      <c r="B51" t="s">
        <v>152</v>
      </c>
      <c r="C51" t="s">
        <v>63</v>
      </c>
      <c r="D51" t="s">
        <v>64</v>
      </c>
      <c r="E51" s="10">
        <v>30573</v>
      </c>
      <c r="H51">
        <v>20</v>
      </c>
      <c r="J51" s="11">
        <v>30593</v>
      </c>
    </row>
    <row r="52" spans="1:10" hidden="1" x14ac:dyDescent="0.35">
      <c r="A52" t="s">
        <v>153</v>
      </c>
      <c r="B52" t="s">
        <v>77</v>
      </c>
      <c r="C52" t="s">
        <v>86</v>
      </c>
      <c r="D52" t="s">
        <v>64</v>
      </c>
      <c r="H52">
        <v>876</v>
      </c>
      <c r="J52" s="11">
        <v>876</v>
      </c>
    </row>
    <row r="53" spans="1:10" x14ac:dyDescent="0.35">
      <c r="A53" t="s">
        <v>154</v>
      </c>
      <c r="B53" t="s">
        <v>155</v>
      </c>
      <c r="C53" t="s">
        <v>63</v>
      </c>
      <c r="D53" t="s">
        <v>64</v>
      </c>
      <c r="H53">
        <v>199</v>
      </c>
      <c r="J53" s="11">
        <v>199</v>
      </c>
    </row>
    <row r="54" spans="1:10" hidden="1" x14ac:dyDescent="0.35">
      <c r="A54" t="s">
        <v>156</v>
      </c>
      <c r="B54" t="s">
        <v>77</v>
      </c>
      <c r="D54" t="s">
        <v>64</v>
      </c>
      <c r="H54">
        <v>0</v>
      </c>
      <c r="J54" s="11">
        <v>0</v>
      </c>
    </row>
    <row r="55" spans="1:10" x14ac:dyDescent="0.35">
      <c r="A55" t="s">
        <v>157</v>
      </c>
      <c r="B55" t="s">
        <v>68</v>
      </c>
      <c r="C55" t="s">
        <v>63</v>
      </c>
      <c r="D55" t="s">
        <v>64</v>
      </c>
      <c r="H55" s="10">
        <v>2650</v>
      </c>
      <c r="J55" s="11">
        <v>2650</v>
      </c>
    </row>
    <row r="56" spans="1:10" hidden="1" x14ac:dyDescent="0.35">
      <c r="A56" t="s">
        <v>158</v>
      </c>
      <c r="B56" t="s">
        <v>159</v>
      </c>
      <c r="C56" t="s">
        <v>63</v>
      </c>
      <c r="D56" t="s">
        <v>78</v>
      </c>
      <c r="H56">
        <v>742</v>
      </c>
      <c r="J56" s="11">
        <v>742</v>
      </c>
    </row>
    <row r="57" spans="1:10" x14ac:dyDescent="0.35">
      <c r="A57" t="s">
        <v>160</v>
      </c>
      <c r="B57" t="s">
        <v>77</v>
      </c>
      <c r="C57" t="s">
        <v>63</v>
      </c>
      <c r="D57" t="s">
        <v>64</v>
      </c>
      <c r="H57" s="10">
        <v>1027</v>
      </c>
      <c r="J57" s="11">
        <v>1027</v>
      </c>
    </row>
    <row r="58" spans="1:10" x14ac:dyDescent="0.35">
      <c r="A58" t="s">
        <v>161</v>
      </c>
      <c r="B58" t="s">
        <v>162</v>
      </c>
      <c r="C58" t="s">
        <v>63</v>
      </c>
      <c r="D58" t="s">
        <v>64</v>
      </c>
      <c r="E58">
        <v>753</v>
      </c>
      <c r="G58" s="10">
        <v>1081</v>
      </c>
      <c r="J58" s="11">
        <v>1834</v>
      </c>
    </row>
    <row r="59" spans="1:10" x14ac:dyDescent="0.35">
      <c r="A59" t="s">
        <v>163</v>
      </c>
      <c r="B59" t="s">
        <v>164</v>
      </c>
      <c r="C59" t="s">
        <v>63</v>
      </c>
      <c r="D59" t="s">
        <v>64</v>
      </c>
      <c r="H59" s="10">
        <v>4417</v>
      </c>
      <c r="J59" s="11">
        <v>4417</v>
      </c>
    </row>
    <row r="60" spans="1:10" x14ac:dyDescent="0.35">
      <c r="A60" t="s">
        <v>165</v>
      </c>
      <c r="B60" t="s">
        <v>166</v>
      </c>
      <c r="C60" t="s">
        <v>63</v>
      </c>
      <c r="D60" t="s">
        <v>64</v>
      </c>
      <c r="E60" s="10">
        <v>3339</v>
      </c>
      <c r="J60" s="11">
        <v>3339</v>
      </c>
    </row>
    <row r="61" spans="1:10" hidden="1" x14ac:dyDescent="0.35">
      <c r="A61" t="s">
        <v>167</v>
      </c>
      <c r="B61" t="s">
        <v>168</v>
      </c>
      <c r="C61" t="s">
        <v>63</v>
      </c>
      <c r="D61" t="s">
        <v>73</v>
      </c>
      <c r="E61">
        <v>377</v>
      </c>
      <c r="H61">
        <v>5</v>
      </c>
      <c r="J61" s="11">
        <v>382</v>
      </c>
    </row>
    <row r="62" spans="1:10" hidden="1" x14ac:dyDescent="0.35">
      <c r="A62" t="s">
        <v>169</v>
      </c>
      <c r="B62" t="s">
        <v>170</v>
      </c>
      <c r="C62" t="s">
        <v>86</v>
      </c>
      <c r="D62" t="s">
        <v>78</v>
      </c>
      <c r="E62" s="10">
        <v>31993</v>
      </c>
      <c r="F62">
        <v>0</v>
      </c>
      <c r="G62" s="10">
        <v>2174</v>
      </c>
      <c r="H62">
        <v>15</v>
      </c>
      <c r="I62">
        <v>3</v>
      </c>
      <c r="J62" s="11">
        <v>34185</v>
      </c>
    </row>
    <row r="63" spans="1:10" hidden="1" x14ac:dyDescent="0.35">
      <c r="A63" t="s">
        <v>171</v>
      </c>
      <c r="B63" t="s">
        <v>172</v>
      </c>
      <c r="C63" t="s">
        <v>63</v>
      </c>
      <c r="D63" t="s">
        <v>64</v>
      </c>
      <c r="E63">
        <v>0</v>
      </c>
      <c r="F63">
        <v>87</v>
      </c>
      <c r="G63">
        <v>0</v>
      </c>
      <c r="H63">
        <v>0</v>
      </c>
      <c r="I63">
        <v>685</v>
      </c>
      <c r="J63" s="11">
        <v>772</v>
      </c>
    </row>
    <row r="64" spans="1:10" x14ac:dyDescent="0.35">
      <c r="A64" t="s">
        <v>173</v>
      </c>
      <c r="B64" t="s">
        <v>174</v>
      </c>
      <c r="C64" t="s">
        <v>63</v>
      </c>
      <c r="D64" t="s">
        <v>64</v>
      </c>
      <c r="H64">
        <v>560</v>
      </c>
      <c r="J64" s="11">
        <v>560</v>
      </c>
    </row>
    <row r="65" spans="1:10" x14ac:dyDescent="0.35">
      <c r="A65" t="s">
        <v>175</v>
      </c>
      <c r="B65" t="s">
        <v>176</v>
      </c>
      <c r="C65" t="s">
        <v>63</v>
      </c>
      <c r="D65" t="s">
        <v>64</v>
      </c>
      <c r="G65">
        <v>478</v>
      </c>
      <c r="H65">
        <v>130</v>
      </c>
      <c r="J65" s="11">
        <v>608</v>
      </c>
    </row>
    <row r="66" spans="1:10" x14ac:dyDescent="0.35">
      <c r="A66" t="s">
        <v>177</v>
      </c>
      <c r="B66" t="s">
        <v>178</v>
      </c>
      <c r="C66" t="s">
        <v>63</v>
      </c>
      <c r="D66" t="s">
        <v>64</v>
      </c>
      <c r="F66">
        <v>462</v>
      </c>
      <c r="H66">
        <v>253</v>
      </c>
      <c r="I66">
        <v>72</v>
      </c>
      <c r="J66" s="11">
        <v>787</v>
      </c>
    </row>
    <row r="67" spans="1:10" x14ac:dyDescent="0.35">
      <c r="A67" t="s">
        <v>179</v>
      </c>
      <c r="B67" t="s">
        <v>180</v>
      </c>
      <c r="C67" t="s">
        <v>63</v>
      </c>
      <c r="D67" t="s">
        <v>64</v>
      </c>
      <c r="E67" s="10">
        <v>1603</v>
      </c>
      <c r="F67">
        <v>23</v>
      </c>
      <c r="G67">
        <v>107</v>
      </c>
      <c r="H67">
        <v>13</v>
      </c>
      <c r="I67">
        <v>99</v>
      </c>
      <c r="J67" s="11">
        <v>1845</v>
      </c>
    </row>
    <row r="68" spans="1:10" hidden="1" x14ac:dyDescent="0.35">
      <c r="A68" t="s">
        <v>181</v>
      </c>
      <c r="B68" t="s">
        <v>182</v>
      </c>
      <c r="C68" t="s">
        <v>86</v>
      </c>
      <c r="D68" t="s">
        <v>64</v>
      </c>
      <c r="H68" s="10">
        <v>2497</v>
      </c>
      <c r="J68" s="11">
        <v>2497</v>
      </c>
    </row>
    <row r="69" spans="1:10" hidden="1" x14ac:dyDescent="0.35">
      <c r="A69" t="s">
        <v>183</v>
      </c>
      <c r="B69" t="s">
        <v>184</v>
      </c>
      <c r="C69" t="s">
        <v>86</v>
      </c>
      <c r="D69" t="s">
        <v>64</v>
      </c>
      <c r="E69" s="10">
        <v>3403</v>
      </c>
      <c r="G69">
        <v>740</v>
      </c>
      <c r="H69">
        <v>1</v>
      </c>
      <c r="I69">
        <v>1</v>
      </c>
      <c r="J69" s="11">
        <v>4145</v>
      </c>
    </row>
    <row r="70" spans="1:10" x14ac:dyDescent="0.35">
      <c r="A70" t="s">
        <v>185</v>
      </c>
      <c r="B70" t="s">
        <v>186</v>
      </c>
      <c r="C70" t="s">
        <v>63</v>
      </c>
      <c r="D70" t="s">
        <v>64</v>
      </c>
      <c r="E70" s="10">
        <v>10537</v>
      </c>
      <c r="J70" s="11">
        <v>10537</v>
      </c>
    </row>
    <row r="71" spans="1:10" x14ac:dyDescent="0.35">
      <c r="A71" t="s">
        <v>187</v>
      </c>
      <c r="B71" t="s">
        <v>188</v>
      </c>
      <c r="C71" t="s">
        <v>63</v>
      </c>
      <c r="D71" t="s">
        <v>64</v>
      </c>
      <c r="E71">
        <v>695</v>
      </c>
      <c r="G71">
        <v>6</v>
      </c>
      <c r="J71" s="11">
        <v>701</v>
      </c>
    </row>
    <row r="72" spans="1:10" hidden="1" x14ac:dyDescent="0.35">
      <c r="A72" t="s">
        <v>189</v>
      </c>
      <c r="B72" t="s">
        <v>190</v>
      </c>
      <c r="C72" t="s">
        <v>63</v>
      </c>
      <c r="D72" t="s">
        <v>78</v>
      </c>
      <c r="H72" s="10">
        <v>56025</v>
      </c>
      <c r="J72" s="11">
        <v>56025</v>
      </c>
    </row>
    <row r="73" spans="1:10" hidden="1" x14ac:dyDescent="0.35">
      <c r="A73" t="s">
        <v>191</v>
      </c>
      <c r="B73" t="s">
        <v>135</v>
      </c>
      <c r="C73" t="s">
        <v>63</v>
      </c>
      <c r="D73" t="s">
        <v>64</v>
      </c>
      <c r="E73">
        <v>0</v>
      </c>
      <c r="F73" s="10">
        <v>1176</v>
      </c>
      <c r="G73">
        <v>0</v>
      </c>
      <c r="H73">
        <v>0</v>
      </c>
      <c r="I73">
        <v>0</v>
      </c>
      <c r="J73" s="11">
        <v>1176</v>
      </c>
    </row>
    <row r="74" spans="1:10" hidden="1" x14ac:dyDescent="0.35">
      <c r="A74" t="s">
        <v>192</v>
      </c>
      <c r="B74" t="s">
        <v>193</v>
      </c>
      <c r="C74" t="s">
        <v>63</v>
      </c>
      <c r="D74" t="s">
        <v>78</v>
      </c>
      <c r="G74">
        <v>758</v>
      </c>
      <c r="J74" s="11">
        <v>758</v>
      </c>
    </row>
    <row r="75" spans="1:10" hidden="1" x14ac:dyDescent="0.35">
      <c r="A75" t="s">
        <v>194</v>
      </c>
      <c r="B75" t="s">
        <v>135</v>
      </c>
      <c r="C75" t="s">
        <v>63</v>
      </c>
      <c r="D75" t="s">
        <v>64</v>
      </c>
      <c r="E75">
        <v>0</v>
      </c>
      <c r="F75">
        <v>419</v>
      </c>
      <c r="G75">
        <v>0</v>
      </c>
      <c r="H75">
        <v>0</v>
      </c>
      <c r="I75">
        <v>340</v>
      </c>
      <c r="J75" s="11">
        <v>759</v>
      </c>
    </row>
    <row r="76" spans="1:10" hidden="1" x14ac:dyDescent="0.35">
      <c r="A76" t="s">
        <v>195</v>
      </c>
      <c r="B76" t="s">
        <v>135</v>
      </c>
      <c r="C76" t="s">
        <v>63</v>
      </c>
      <c r="D76" t="s">
        <v>64</v>
      </c>
      <c r="E76">
        <v>0</v>
      </c>
      <c r="F76">
        <v>730</v>
      </c>
      <c r="G76">
        <v>0</v>
      </c>
      <c r="H76">
        <v>0</v>
      </c>
      <c r="I76">
        <v>0</v>
      </c>
      <c r="J76" s="11">
        <v>730</v>
      </c>
    </row>
    <row r="77" spans="1:10" x14ac:dyDescent="0.35">
      <c r="A77" t="s">
        <v>196</v>
      </c>
      <c r="B77" t="s">
        <v>197</v>
      </c>
      <c r="C77" t="s">
        <v>63</v>
      </c>
      <c r="D77" t="s">
        <v>64</v>
      </c>
      <c r="F77">
        <v>11</v>
      </c>
      <c r="I77" s="10">
        <v>2864</v>
      </c>
      <c r="J77" s="11">
        <v>2875</v>
      </c>
    </row>
    <row r="78" spans="1:10" x14ac:dyDescent="0.35">
      <c r="A78" t="s">
        <v>198</v>
      </c>
      <c r="B78" t="s">
        <v>199</v>
      </c>
      <c r="C78" t="s">
        <v>63</v>
      </c>
      <c r="D78" t="s">
        <v>64</v>
      </c>
      <c r="H78" s="10">
        <v>4524</v>
      </c>
      <c r="J78" s="11">
        <v>4524</v>
      </c>
    </row>
    <row r="79" spans="1:10" x14ac:dyDescent="0.35">
      <c r="A79" t="s">
        <v>200</v>
      </c>
      <c r="B79" t="s">
        <v>201</v>
      </c>
      <c r="C79" t="s">
        <v>63</v>
      </c>
      <c r="D79" t="s">
        <v>64</v>
      </c>
      <c r="H79" s="10">
        <v>11352</v>
      </c>
      <c r="J79" s="11">
        <v>11352</v>
      </c>
    </row>
    <row r="80" spans="1:10" x14ac:dyDescent="0.35">
      <c r="A80" t="s">
        <v>202</v>
      </c>
      <c r="B80" t="s">
        <v>203</v>
      </c>
      <c r="C80" t="s">
        <v>63</v>
      </c>
      <c r="D80" t="s">
        <v>64</v>
      </c>
      <c r="I80">
        <v>504</v>
      </c>
      <c r="J80" s="11">
        <v>504</v>
      </c>
    </row>
    <row r="81" spans="1:10" hidden="1" x14ac:dyDescent="0.35">
      <c r="A81" t="s">
        <v>204</v>
      </c>
      <c r="B81" t="s">
        <v>75</v>
      </c>
      <c r="C81" t="s">
        <v>86</v>
      </c>
      <c r="D81" t="s">
        <v>64</v>
      </c>
      <c r="H81" s="10">
        <v>60221</v>
      </c>
      <c r="J81" s="11">
        <v>60221</v>
      </c>
    </row>
    <row r="82" spans="1:10" hidden="1" x14ac:dyDescent="0.35">
      <c r="A82" t="s">
        <v>205</v>
      </c>
      <c r="B82" t="s">
        <v>77</v>
      </c>
      <c r="C82" t="s">
        <v>63</v>
      </c>
      <c r="D82" t="s">
        <v>109</v>
      </c>
      <c r="H82">
        <v>612</v>
      </c>
      <c r="J82" s="11">
        <v>612</v>
      </c>
    </row>
    <row r="83" spans="1:10" x14ac:dyDescent="0.35">
      <c r="A83" t="s">
        <v>206</v>
      </c>
      <c r="B83" t="s">
        <v>77</v>
      </c>
      <c r="C83" t="s">
        <v>63</v>
      </c>
      <c r="D83" t="s">
        <v>64</v>
      </c>
      <c r="H83">
        <v>582</v>
      </c>
      <c r="J83" s="11">
        <v>582</v>
      </c>
    </row>
    <row r="84" spans="1:10" x14ac:dyDescent="0.35">
      <c r="A84" t="s">
        <v>207</v>
      </c>
      <c r="B84" t="s">
        <v>77</v>
      </c>
      <c r="C84" t="s">
        <v>63</v>
      </c>
      <c r="D84" t="s">
        <v>64</v>
      </c>
      <c r="H84" s="10">
        <v>1050</v>
      </c>
      <c r="J84" s="11">
        <v>1050</v>
      </c>
    </row>
    <row r="85" spans="1:10" hidden="1" x14ac:dyDescent="0.35">
      <c r="A85" t="s">
        <v>208</v>
      </c>
      <c r="B85" t="s">
        <v>209</v>
      </c>
      <c r="C85" t="s">
        <v>63</v>
      </c>
      <c r="D85" t="s">
        <v>78</v>
      </c>
      <c r="G85">
        <v>0</v>
      </c>
      <c r="H85">
        <v>1</v>
      </c>
      <c r="J85" s="11">
        <v>1</v>
      </c>
    </row>
    <row r="86" spans="1:10" x14ac:dyDescent="0.35">
      <c r="A86" t="s">
        <v>210</v>
      </c>
      <c r="B86" t="s">
        <v>77</v>
      </c>
      <c r="C86" t="s">
        <v>63</v>
      </c>
      <c r="D86" t="s">
        <v>64</v>
      </c>
      <c r="H86" s="10">
        <v>1114</v>
      </c>
      <c r="J86" s="11">
        <v>1114</v>
      </c>
    </row>
    <row r="87" spans="1:10" x14ac:dyDescent="0.35">
      <c r="A87" t="s">
        <v>211</v>
      </c>
      <c r="B87" t="s">
        <v>212</v>
      </c>
      <c r="C87" t="s">
        <v>63</v>
      </c>
      <c r="D87" t="s">
        <v>64</v>
      </c>
      <c r="E87">
        <v>416</v>
      </c>
      <c r="I87">
        <v>492</v>
      </c>
      <c r="J87" s="11">
        <v>908</v>
      </c>
    </row>
    <row r="88" spans="1:10" hidden="1" x14ac:dyDescent="0.35">
      <c r="A88" t="s">
        <v>213</v>
      </c>
      <c r="B88" t="s">
        <v>214</v>
      </c>
      <c r="C88" t="s">
        <v>63</v>
      </c>
      <c r="D88" t="s">
        <v>64</v>
      </c>
      <c r="E88">
        <v>154</v>
      </c>
      <c r="F88">
        <v>0</v>
      </c>
      <c r="G88">
        <v>0</v>
      </c>
      <c r="H88">
        <v>0</v>
      </c>
      <c r="I88">
        <v>0</v>
      </c>
      <c r="J88" s="11">
        <v>154</v>
      </c>
    </row>
    <row r="89" spans="1:10" x14ac:dyDescent="0.35">
      <c r="A89" t="s">
        <v>215</v>
      </c>
      <c r="B89" t="s">
        <v>216</v>
      </c>
      <c r="C89" t="s">
        <v>63</v>
      </c>
      <c r="D89" t="s">
        <v>64</v>
      </c>
      <c r="F89">
        <v>517</v>
      </c>
      <c r="J89" s="11">
        <v>517</v>
      </c>
    </row>
    <row r="90" spans="1:10" x14ac:dyDescent="0.35">
      <c r="A90" t="s">
        <v>217</v>
      </c>
      <c r="B90" t="s">
        <v>216</v>
      </c>
      <c r="C90" t="s">
        <v>63</v>
      </c>
      <c r="D90" t="s">
        <v>64</v>
      </c>
      <c r="F90">
        <v>720</v>
      </c>
      <c r="I90" s="10">
        <v>1308</v>
      </c>
      <c r="J90" s="11">
        <v>2028</v>
      </c>
    </row>
    <row r="91" spans="1:10" x14ac:dyDescent="0.35">
      <c r="A91" t="s">
        <v>218</v>
      </c>
      <c r="B91" t="s">
        <v>219</v>
      </c>
      <c r="C91" t="s">
        <v>63</v>
      </c>
      <c r="D91" t="s">
        <v>64</v>
      </c>
      <c r="H91" s="10">
        <v>8797</v>
      </c>
      <c r="J91" s="11">
        <v>8797</v>
      </c>
    </row>
    <row r="92" spans="1:10" x14ac:dyDescent="0.35">
      <c r="A92" t="s">
        <v>220</v>
      </c>
      <c r="B92" t="s">
        <v>91</v>
      </c>
      <c r="C92" t="s">
        <v>63</v>
      </c>
      <c r="D92" t="s">
        <v>64</v>
      </c>
      <c r="H92">
        <v>16</v>
      </c>
      <c r="J92" s="11">
        <v>16</v>
      </c>
    </row>
    <row r="93" spans="1:10" x14ac:dyDescent="0.35">
      <c r="A93" t="s">
        <v>221</v>
      </c>
      <c r="B93" t="s">
        <v>222</v>
      </c>
      <c r="C93" t="s">
        <v>63</v>
      </c>
      <c r="D93" t="s">
        <v>64</v>
      </c>
      <c r="F93">
        <v>20</v>
      </c>
      <c r="H93">
        <v>42</v>
      </c>
      <c r="I93">
        <v>482</v>
      </c>
      <c r="J93" s="11">
        <v>544</v>
      </c>
    </row>
    <row r="94" spans="1:10" x14ac:dyDescent="0.35">
      <c r="A94" t="s">
        <v>223</v>
      </c>
      <c r="B94" t="s">
        <v>224</v>
      </c>
      <c r="C94" t="s">
        <v>63</v>
      </c>
      <c r="D94" t="s">
        <v>64</v>
      </c>
      <c r="H94" s="10">
        <v>3792</v>
      </c>
      <c r="J94" s="11">
        <v>3792</v>
      </c>
    </row>
    <row r="95" spans="1:10" x14ac:dyDescent="0.35">
      <c r="A95" t="s">
        <v>225</v>
      </c>
      <c r="B95" t="s">
        <v>77</v>
      </c>
      <c r="C95" t="s">
        <v>63</v>
      </c>
      <c r="D95" t="s">
        <v>64</v>
      </c>
      <c r="I95">
        <v>13</v>
      </c>
      <c r="J95" s="11">
        <v>13</v>
      </c>
    </row>
    <row r="96" spans="1:10" hidden="1" x14ac:dyDescent="0.35">
      <c r="A96" t="s">
        <v>226</v>
      </c>
      <c r="B96" t="s">
        <v>135</v>
      </c>
      <c r="C96" t="s">
        <v>63</v>
      </c>
      <c r="D96" t="s">
        <v>64</v>
      </c>
      <c r="E96">
        <v>0</v>
      </c>
      <c r="F96">
        <v>41</v>
      </c>
      <c r="G96">
        <v>0</v>
      </c>
      <c r="H96">
        <v>0</v>
      </c>
      <c r="I96">
        <v>500</v>
      </c>
      <c r="J96" s="11">
        <v>541</v>
      </c>
    </row>
    <row r="97" spans="1:10" x14ac:dyDescent="0.35">
      <c r="A97" t="s">
        <v>227</v>
      </c>
      <c r="B97" t="s">
        <v>228</v>
      </c>
      <c r="C97" t="s">
        <v>63</v>
      </c>
      <c r="D97" t="s">
        <v>64</v>
      </c>
      <c r="F97" s="10">
        <v>2262</v>
      </c>
      <c r="I97" s="10">
        <v>4759</v>
      </c>
      <c r="J97" s="11">
        <v>7021</v>
      </c>
    </row>
    <row r="98" spans="1:10" hidden="1" x14ac:dyDescent="0.35">
      <c r="A98" t="s">
        <v>229</v>
      </c>
      <c r="B98" t="s">
        <v>230</v>
      </c>
      <c r="C98" t="s">
        <v>86</v>
      </c>
      <c r="D98" t="s">
        <v>64</v>
      </c>
      <c r="H98" s="10">
        <v>19781</v>
      </c>
      <c r="J98" s="11">
        <v>19781</v>
      </c>
    </row>
    <row r="99" spans="1:10" hidden="1" x14ac:dyDescent="0.35">
      <c r="A99" t="s">
        <v>231</v>
      </c>
      <c r="B99" t="s">
        <v>135</v>
      </c>
      <c r="C99" t="s">
        <v>63</v>
      </c>
      <c r="D99" t="s">
        <v>64</v>
      </c>
      <c r="E99">
        <v>0</v>
      </c>
      <c r="F99">
        <v>0</v>
      </c>
      <c r="G99">
        <v>0</v>
      </c>
      <c r="H99">
        <v>0</v>
      </c>
      <c r="I99">
        <v>673</v>
      </c>
      <c r="J99" s="11">
        <v>673</v>
      </c>
    </row>
    <row r="100" spans="1:10" x14ac:dyDescent="0.35">
      <c r="A100" t="s">
        <v>232</v>
      </c>
      <c r="B100" t="s">
        <v>233</v>
      </c>
      <c r="C100" t="s">
        <v>63</v>
      </c>
      <c r="D100" t="s">
        <v>64</v>
      </c>
      <c r="H100">
        <v>965</v>
      </c>
      <c r="J100" s="11">
        <v>965</v>
      </c>
    </row>
    <row r="101" spans="1:10" x14ac:dyDescent="0.35">
      <c r="A101" t="s">
        <v>234</v>
      </c>
      <c r="B101" t="s">
        <v>93</v>
      </c>
      <c r="C101" t="s">
        <v>63</v>
      </c>
      <c r="D101" t="s">
        <v>64</v>
      </c>
      <c r="H101">
        <v>611</v>
      </c>
      <c r="J101" s="11">
        <v>611</v>
      </c>
    </row>
    <row r="102" spans="1:10" hidden="1" x14ac:dyDescent="0.35">
      <c r="A102" t="s">
        <v>235</v>
      </c>
      <c r="B102" t="s">
        <v>236</v>
      </c>
      <c r="C102" t="s">
        <v>63</v>
      </c>
      <c r="D102" t="s">
        <v>237</v>
      </c>
      <c r="E102" s="10">
        <v>3824</v>
      </c>
      <c r="J102" s="11">
        <v>3824</v>
      </c>
    </row>
    <row r="103" spans="1:10" x14ac:dyDescent="0.35">
      <c r="A103" t="s">
        <v>238</v>
      </c>
      <c r="B103" t="s">
        <v>77</v>
      </c>
      <c r="C103" t="s">
        <v>63</v>
      </c>
      <c r="D103" t="s">
        <v>64</v>
      </c>
      <c r="H103" s="10">
        <v>2358</v>
      </c>
      <c r="J103" s="11">
        <v>2358</v>
      </c>
    </row>
    <row r="104" spans="1:10" x14ac:dyDescent="0.35">
      <c r="A104" t="s">
        <v>239</v>
      </c>
      <c r="B104" t="s">
        <v>240</v>
      </c>
      <c r="C104" t="s">
        <v>63</v>
      </c>
      <c r="D104" t="s">
        <v>64</v>
      </c>
      <c r="H104">
        <v>711</v>
      </c>
      <c r="J104" s="11">
        <v>711</v>
      </c>
    </row>
    <row r="105" spans="1:10" x14ac:dyDescent="0.35">
      <c r="A105" t="s">
        <v>241</v>
      </c>
      <c r="B105" t="s">
        <v>242</v>
      </c>
      <c r="C105" t="s">
        <v>63</v>
      </c>
      <c r="D105" t="s">
        <v>64</v>
      </c>
      <c r="H105" s="10">
        <v>3281</v>
      </c>
      <c r="J105" s="11">
        <v>3281</v>
      </c>
    </row>
    <row r="106" spans="1:10" x14ac:dyDescent="0.35">
      <c r="A106" t="s">
        <v>243</v>
      </c>
      <c r="B106" t="s">
        <v>244</v>
      </c>
      <c r="C106" t="s">
        <v>63</v>
      </c>
      <c r="D106" t="s">
        <v>64</v>
      </c>
      <c r="E106" s="10">
        <v>75064</v>
      </c>
      <c r="F106">
        <v>66</v>
      </c>
      <c r="G106" s="10">
        <v>5047</v>
      </c>
      <c r="H106">
        <v>417</v>
      </c>
      <c r="I106">
        <v>909</v>
      </c>
      <c r="J106" s="11">
        <v>81503</v>
      </c>
    </row>
    <row r="107" spans="1:10" x14ac:dyDescent="0.35">
      <c r="A107" t="s">
        <v>245</v>
      </c>
      <c r="B107" t="s">
        <v>68</v>
      </c>
      <c r="C107" t="s">
        <v>63</v>
      </c>
      <c r="D107" t="s">
        <v>64</v>
      </c>
      <c r="H107">
        <v>958</v>
      </c>
      <c r="J107" s="11">
        <v>958</v>
      </c>
    </row>
    <row r="108" spans="1:10" x14ac:dyDescent="0.35">
      <c r="A108" t="s">
        <v>246</v>
      </c>
      <c r="B108" t="s">
        <v>247</v>
      </c>
      <c r="C108" t="s">
        <v>63</v>
      </c>
      <c r="D108" t="s">
        <v>64</v>
      </c>
      <c r="E108">
        <v>879</v>
      </c>
      <c r="J108" s="11">
        <v>879</v>
      </c>
    </row>
    <row r="109" spans="1:10" x14ac:dyDescent="0.35">
      <c r="A109" t="s">
        <v>248</v>
      </c>
      <c r="B109" t="s">
        <v>68</v>
      </c>
      <c r="C109" t="s">
        <v>63</v>
      </c>
      <c r="D109" t="s">
        <v>64</v>
      </c>
      <c r="H109" s="10">
        <v>1266</v>
      </c>
      <c r="J109" s="11">
        <v>1266</v>
      </c>
    </row>
    <row r="110" spans="1:10" x14ac:dyDescent="0.35">
      <c r="A110" t="s">
        <v>249</v>
      </c>
      <c r="B110" t="s">
        <v>250</v>
      </c>
      <c r="C110" t="s">
        <v>63</v>
      </c>
      <c r="D110" t="s">
        <v>64</v>
      </c>
      <c r="H110" s="10">
        <v>5765</v>
      </c>
      <c r="J110" s="11">
        <v>5765</v>
      </c>
    </row>
    <row r="111" spans="1:10" x14ac:dyDescent="0.35">
      <c r="A111" t="s">
        <v>251</v>
      </c>
      <c r="B111" t="s">
        <v>129</v>
      </c>
      <c r="C111" t="s">
        <v>63</v>
      </c>
      <c r="D111" t="s">
        <v>64</v>
      </c>
      <c r="H111" s="10">
        <v>8125</v>
      </c>
      <c r="J111" s="11">
        <v>8125</v>
      </c>
    </row>
    <row r="112" spans="1:10" x14ac:dyDescent="0.35">
      <c r="A112" t="s">
        <v>252</v>
      </c>
      <c r="B112" t="s">
        <v>77</v>
      </c>
      <c r="C112" t="s">
        <v>63</v>
      </c>
      <c r="D112" t="s">
        <v>64</v>
      </c>
      <c r="I112" s="10">
        <v>1116</v>
      </c>
      <c r="J112" s="11">
        <v>1116</v>
      </c>
    </row>
    <row r="113" spans="1:10" x14ac:dyDescent="0.35">
      <c r="A113" t="s">
        <v>253</v>
      </c>
      <c r="B113" t="s">
        <v>254</v>
      </c>
      <c r="C113" t="s">
        <v>63</v>
      </c>
      <c r="D113" t="s">
        <v>64</v>
      </c>
      <c r="F113">
        <v>265</v>
      </c>
      <c r="I113" s="10">
        <v>2491</v>
      </c>
      <c r="J113" s="11">
        <v>2756</v>
      </c>
    </row>
    <row r="114" spans="1:10" x14ac:dyDescent="0.35">
      <c r="A114" t="s">
        <v>255</v>
      </c>
      <c r="B114" t="s">
        <v>256</v>
      </c>
      <c r="C114" t="s">
        <v>63</v>
      </c>
      <c r="D114" t="s">
        <v>64</v>
      </c>
      <c r="E114" s="10">
        <v>8343</v>
      </c>
      <c r="J114" s="11">
        <v>8343</v>
      </c>
    </row>
    <row r="115" spans="1:10" x14ac:dyDescent="0.35">
      <c r="A115" t="s">
        <v>257</v>
      </c>
      <c r="B115" t="s">
        <v>256</v>
      </c>
      <c r="C115" t="s">
        <v>63</v>
      </c>
      <c r="D115" t="s">
        <v>64</v>
      </c>
      <c r="F115">
        <v>278</v>
      </c>
      <c r="I115">
        <v>848</v>
      </c>
      <c r="J115" s="11">
        <v>1126</v>
      </c>
    </row>
    <row r="116" spans="1:10" x14ac:dyDescent="0.35">
      <c r="A116" t="s">
        <v>258</v>
      </c>
      <c r="B116" t="s">
        <v>259</v>
      </c>
      <c r="C116" t="s">
        <v>63</v>
      </c>
      <c r="D116" t="s">
        <v>64</v>
      </c>
      <c r="F116">
        <v>764</v>
      </c>
      <c r="J116" s="11">
        <v>764</v>
      </c>
    </row>
    <row r="117" spans="1:10" x14ac:dyDescent="0.35">
      <c r="A117" t="s">
        <v>260</v>
      </c>
      <c r="B117" t="s">
        <v>77</v>
      </c>
      <c r="C117" t="s">
        <v>63</v>
      </c>
      <c r="D117" t="s">
        <v>64</v>
      </c>
      <c r="G117" s="10">
        <v>1029</v>
      </c>
      <c r="J117" s="11">
        <v>1029</v>
      </c>
    </row>
    <row r="118" spans="1:10" x14ac:dyDescent="0.35">
      <c r="A118" t="s">
        <v>261</v>
      </c>
      <c r="B118" t="s">
        <v>77</v>
      </c>
      <c r="C118" t="s">
        <v>63</v>
      </c>
      <c r="D118" t="s">
        <v>64</v>
      </c>
      <c r="E118">
        <v>820</v>
      </c>
      <c r="J118" s="11">
        <v>820</v>
      </c>
    </row>
    <row r="119" spans="1:10" x14ac:dyDescent="0.35">
      <c r="A119" t="s">
        <v>262</v>
      </c>
      <c r="B119" t="s">
        <v>263</v>
      </c>
      <c r="C119" t="s">
        <v>63</v>
      </c>
      <c r="D119" t="s">
        <v>64</v>
      </c>
      <c r="H119">
        <v>23</v>
      </c>
      <c r="J119" s="11">
        <v>23</v>
      </c>
    </row>
    <row r="120" spans="1:10" x14ac:dyDescent="0.35">
      <c r="A120" t="s">
        <v>264</v>
      </c>
      <c r="B120" t="s">
        <v>265</v>
      </c>
      <c r="C120" t="s">
        <v>63</v>
      </c>
      <c r="D120" t="s">
        <v>64</v>
      </c>
      <c r="E120" s="10">
        <v>1735</v>
      </c>
      <c r="G120">
        <v>910</v>
      </c>
      <c r="J120" s="11">
        <v>2645</v>
      </c>
    </row>
    <row r="121" spans="1:10" x14ac:dyDescent="0.35">
      <c r="A121" t="s">
        <v>266</v>
      </c>
      <c r="B121" t="s">
        <v>267</v>
      </c>
      <c r="C121" t="s">
        <v>63</v>
      </c>
      <c r="D121" t="s">
        <v>64</v>
      </c>
      <c r="F121" s="10">
        <v>1519</v>
      </c>
      <c r="H121" s="10">
        <v>2895</v>
      </c>
      <c r="J121" s="11">
        <v>4414</v>
      </c>
    </row>
    <row r="122" spans="1:10" x14ac:dyDescent="0.35">
      <c r="A122" t="s">
        <v>268</v>
      </c>
      <c r="B122" t="s">
        <v>77</v>
      </c>
      <c r="C122" t="s">
        <v>63</v>
      </c>
      <c r="D122" t="s">
        <v>64</v>
      </c>
      <c r="H122">
        <v>583</v>
      </c>
      <c r="J122" s="11">
        <v>583</v>
      </c>
    </row>
    <row r="123" spans="1:10" x14ac:dyDescent="0.35">
      <c r="A123" t="s">
        <v>269</v>
      </c>
      <c r="B123" t="s">
        <v>270</v>
      </c>
      <c r="C123" t="s">
        <v>63</v>
      </c>
      <c r="D123" t="s">
        <v>64</v>
      </c>
      <c r="G123">
        <v>10</v>
      </c>
      <c r="J123" s="11">
        <v>10</v>
      </c>
    </row>
    <row r="124" spans="1:10" x14ac:dyDescent="0.35">
      <c r="A124" t="s">
        <v>271</v>
      </c>
      <c r="B124" t="s">
        <v>272</v>
      </c>
      <c r="C124" t="s">
        <v>63</v>
      </c>
      <c r="D124" t="s">
        <v>64</v>
      </c>
      <c r="F124">
        <v>421</v>
      </c>
      <c r="H124" s="10">
        <v>1248</v>
      </c>
      <c r="I124">
        <v>159</v>
      </c>
      <c r="J124" s="11">
        <v>1828</v>
      </c>
    </row>
    <row r="125" spans="1:10" x14ac:dyDescent="0.35">
      <c r="A125" t="s">
        <v>273</v>
      </c>
      <c r="B125" t="s">
        <v>93</v>
      </c>
      <c r="C125" t="s">
        <v>63</v>
      </c>
      <c r="D125" t="s">
        <v>64</v>
      </c>
      <c r="H125" s="10">
        <v>12025</v>
      </c>
      <c r="J125" s="11">
        <v>12025</v>
      </c>
    </row>
    <row r="126" spans="1:10" x14ac:dyDescent="0.35">
      <c r="A126" t="s">
        <v>274</v>
      </c>
      <c r="B126" t="s">
        <v>135</v>
      </c>
      <c r="C126" t="s">
        <v>63</v>
      </c>
      <c r="D126" t="s">
        <v>64</v>
      </c>
      <c r="E126">
        <v>0</v>
      </c>
      <c r="F126">
        <v>0</v>
      </c>
      <c r="G126">
        <v>0</v>
      </c>
      <c r="H126" s="10">
        <v>5683</v>
      </c>
      <c r="I126">
        <v>0</v>
      </c>
      <c r="J126" s="11">
        <v>5683</v>
      </c>
    </row>
    <row r="127" spans="1:10" x14ac:dyDescent="0.35">
      <c r="A127" t="s">
        <v>275</v>
      </c>
      <c r="B127" t="s">
        <v>135</v>
      </c>
      <c r="C127" t="s">
        <v>63</v>
      </c>
      <c r="D127" t="s">
        <v>64</v>
      </c>
      <c r="E127" s="10">
        <v>87894</v>
      </c>
      <c r="F127">
        <v>50</v>
      </c>
      <c r="G127" s="10">
        <v>2575</v>
      </c>
      <c r="H127">
        <v>293</v>
      </c>
      <c r="I127">
        <v>25</v>
      </c>
      <c r="J127" s="11">
        <v>90837</v>
      </c>
    </row>
    <row r="128" spans="1:10" x14ac:dyDescent="0.35">
      <c r="A128" t="s">
        <v>276</v>
      </c>
      <c r="B128" t="s">
        <v>77</v>
      </c>
      <c r="C128" t="s">
        <v>63</v>
      </c>
      <c r="D128" t="s">
        <v>64</v>
      </c>
      <c r="G128">
        <v>597</v>
      </c>
      <c r="H128">
        <v>47</v>
      </c>
      <c r="J128" s="11">
        <v>644</v>
      </c>
    </row>
    <row r="129" spans="1:10" x14ac:dyDescent="0.35">
      <c r="A129" t="s">
        <v>277</v>
      </c>
      <c r="B129" t="s">
        <v>278</v>
      </c>
      <c r="C129" t="s">
        <v>63</v>
      </c>
      <c r="D129" t="s">
        <v>64</v>
      </c>
      <c r="I129">
        <v>786</v>
      </c>
      <c r="J129" s="11">
        <v>786</v>
      </c>
    </row>
    <row r="130" spans="1:10" hidden="1" x14ac:dyDescent="0.35">
      <c r="A130" t="s">
        <v>279</v>
      </c>
      <c r="B130" t="s">
        <v>77</v>
      </c>
      <c r="C130" t="s">
        <v>63</v>
      </c>
      <c r="D130" t="s">
        <v>78</v>
      </c>
      <c r="H130" s="10">
        <v>3134</v>
      </c>
      <c r="J130" s="11">
        <v>3134</v>
      </c>
    </row>
    <row r="131" spans="1:10" x14ac:dyDescent="0.35">
      <c r="A131" t="s">
        <v>280</v>
      </c>
      <c r="B131" t="s">
        <v>244</v>
      </c>
      <c r="C131" t="s">
        <v>63</v>
      </c>
      <c r="D131" t="s">
        <v>64</v>
      </c>
      <c r="E131" s="10">
        <v>5169</v>
      </c>
      <c r="F131">
        <v>0</v>
      </c>
      <c r="G131">
        <v>0</v>
      </c>
      <c r="H131">
        <v>95</v>
      </c>
      <c r="I131">
        <v>0</v>
      </c>
      <c r="J131" s="11">
        <v>5264</v>
      </c>
    </row>
    <row r="132" spans="1:10" hidden="1" x14ac:dyDescent="0.35">
      <c r="A132" t="s">
        <v>281</v>
      </c>
      <c r="B132" t="s">
        <v>77</v>
      </c>
      <c r="C132" t="s">
        <v>86</v>
      </c>
      <c r="D132" t="s">
        <v>64</v>
      </c>
      <c r="H132" s="10">
        <v>4208</v>
      </c>
      <c r="J132" s="11">
        <v>4208</v>
      </c>
    </row>
    <row r="133" spans="1:10" x14ac:dyDescent="0.35">
      <c r="A133" t="s">
        <v>282</v>
      </c>
      <c r="B133" t="s">
        <v>135</v>
      </c>
      <c r="C133" t="s">
        <v>63</v>
      </c>
      <c r="D133" t="s">
        <v>64</v>
      </c>
      <c r="E133" s="10">
        <v>8774</v>
      </c>
      <c r="F133">
        <v>0</v>
      </c>
      <c r="G133">
        <v>0</v>
      </c>
      <c r="H133">
        <v>22</v>
      </c>
      <c r="I133">
        <v>0</v>
      </c>
      <c r="J133" s="11">
        <v>8796</v>
      </c>
    </row>
    <row r="134" spans="1:10" x14ac:dyDescent="0.35">
      <c r="A134" t="s">
        <v>283</v>
      </c>
      <c r="B134" t="s">
        <v>284</v>
      </c>
      <c r="C134" t="s">
        <v>63</v>
      </c>
      <c r="D134" t="s">
        <v>64</v>
      </c>
      <c r="H134" s="10">
        <v>1126</v>
      </c>
      <c r="J134" s="11">
        <v>1126</v>
      </c>
    </row>
    <row r="135" spans="1:10" x14ac:dyDescent="0.35">
      <c r="A135" t="s">
        <v>285</v>
      </c>
      <c r="B135" t="s">
        <v>77</v>
      </c>
      <c r="C135" t="s">
        <v>63</v>
      </c>
      <c r="D135" t="s">
        <v>64</v>
      </c>
      <c r="E135" s="10">
        <v>11111</v>
      </c>
      <c r="G135">
        <v>133</v>
      </c>
      <c r="J135" s="11">
        <v>11244</v>
      </c>
    </row>
    <row r="136" spans="1:10" x14ac:dyDescent="0.35">
      <c r="A136" t="s">
        <v>286</v>
      </c>
      <c r="B136" t="s">
        <v>287</v>
      </c>
      <c r="C136" t="s">
        <v>63</v>
      </c>
      <c r="D136" t="s">
        <v>64</v>
      </c>
      <c r="H136">
        <v>542</v>
      </c>
      <c r="J136" s="11">
        <v>542</v>
      </c>
    </row>
    <row r="137" spans="1:10" hidden="1" x14ac:dyDescent="0.35">
      <c r="A137" t="s">
        <v>288</v>
      </c>
      <c r="B137" t="s">
        <v>289</v>
      </c>
      <c r="C137" t="s">
        <v>63</v>
      </c>
      <c r="D137" t="s">
        <v>78</v>
      </c>
      <c r="E137" s="10">
        <v>49247</v>
      </c>
      <c r="F137">
        <v>46</v>
      </c>
      <c r="H137">
        <v>26</v>
      </c>
      <c r="I137">
        <v>251</v>
      </c>
      <c r="J137" s="11">
        <v>49570</v>
      </c>
    </row>
    <row r="138" spans="1:10" x14ac:dyDescent="0.35">
      <c r="A138" t="s">
        <v>290</v>
      </c>
      <c r="B138" t="s">
        <v>91</v>
      </c>
      <c r="C138" t="s">
        <v>63</v>
      </c>
      <c r="D138" t="s">
        <v>64</v>
      </c>
      <c r="H138">
        <v>18</v>
      </c>
      <c r="J138" s="11">
        <v>18</v>
      </c>
    </row>
    <row r="139" spans="1:10" x14ac:dyDescent="0.35">
      <c r="A139" t="s">
        <v>291</v>
      </c>
      <c r="B139" t="s">
        <v>199</v>
      </c>
      <c r="C139" t="s">
        <v>63</v>
      </c>
      <c r="D139" t="s">
        <v>64</v>
      </c>
      <c r="H139" s="10">
        <v>5012</v>
      </c>
      <c r="J139" s="11">
        <v>5012</v>
      </c>
    </row>
    <row r="140" spans="1:10" hidden="1" x14ac:dyDescent="0.35">
      <c r="A140" t="s">
        <v>292</v>
      </c>
      <c r="B140" t="s">
        <v>77</v>
      </c>
      <c r="C140" t="s">
        <v>63</v>
      </c>
      <c r="D140" t="s">
        <v>78</v>
      </c>
      <c r="H140">
        <v>745</v>
      </c>
      <c r="J140" s="11">
        <v>745</v>
      </c>
    </row>
    <row r="141" spans="1:10" x14ac:dyDescent="0.35">
      <c r="A141" t="s">
        <v>293</v>
      </c>
      <c r="B141" t="s">
        <v>180</v>
      </c>
      <c r="C141" t="s">
        <v>63</v>
      </c>
      <c r="D141" t="s">
        <v>64</v>
      </c>
      <c r="E141" s="10">
        <v>90819</v>
      </c>
      <c r="F141">
        <v>41</v>
      </c>
      <c r="G141" s="10">
        <v>6123</v>
      </c>
      <c r="H141">
        <v>77</v>
      </c>
      <c r="I141">
        <v>451</v>
      </c>
      <c r="J141" s="11">
        <v>97511</v>
      </c>
    </row>
    <row r="142" spans="1:10" hidden="1" x14ac:dyDescent="0.35">
      <c r="A142" t="s">
        <v>294</v>
      </c>
      <c r="B142" t="s">
        <v>170</v>
      </c>
      <c r="C142" t="s">
        <v>63</v>
      </c>
      <c r="D142" t="s">
        <v>78</v>
      </c>
      <c r="E142" s="10">
        <v>63947</v>
      </c>
      <c r="F142">
        <v>2</v>
      </c>
      <c r="G142" s="10">
        <v>5263</v>
      </c>
      <c r="H142">
        <v>132</v>
      </c>
      <c r="I142">
        <v>44</v>
      </c>
      <c r="J142" s="11">
        <v>69388</v>
      </c>
    </row>
    <row r="143" spans="1:10" hidden="1" x14ac:dyDescent="0.35">
      <c r="A143" t="s">
        <v>295</v>
      </c>
      <c r="B143" t="s">
        <v>77</v>
      </c>
      <c r="C143" t="s">
        <v>63</v>
      </c>
      <c r="D143" t="s">
        <v>64</v>
      </c>
      <c r="E143">
        <v>485</v>
      </c>
      <c r="F143">
        <v>0</v>
      </c>
      <c r="G143">
        <v>222</v>
      </c>
      <c r="H143">
        <v>0</v>
      </c>
      <c r="I143">
        <v>6</v>
      </c>
      <c r="J143" s="11">
        <v>713</v>
      </c>
    </row>
    <row r="144" spans="1:10" hidden="1" x14ac:dyDescent="0.35">
      <c r="A144" t="s">
        <v>296</v>
      </c>
      <c r="B144" t="s">
        <v>297</v>
      </c>
      <c r="C144" t="s">
        <v>63</v>
      </c>
      <c r="D144" t="s">
        <v>64</v>
      </c>
      <c r="E144" s="10">
        <v>1361</v>
      </c>
      <c r="F144">
        <v>0</v>
      </c>
      <c r="G144">
        <v>85</v>
      </c>
      <c r="H144">
        <v>0</v>
      </c>
      <c r="I144">
        <v>0</v>
      </c>
      <c r="J144" s="11">
        <v>1446</v>
      </c>
    </row>
    <row r="145" spans="1:10" hidden="1" x14ac:dyDescent="0.35">
      <c r="A145" t="s">
        <v>298</v>
      </c>
      <c r="B145" t="s">
        <v>299</v>
      </c>
      <c r="C145" t="s">
        <v>63</v>
      </c>
      <c r="D145" t="s">
        <v>78</v>
      </c>
      <c r="F145">
        <v>241</v>
      </c>
      <c r="I145">
        <v>381</v>
      </c>
      <c r="J145" s="11">
        <v>622</v>
      </c>
    </row>
    <row r="146" spans="1:10" x14ac:dyDescent="0.35">
      <c r="A146" t="s">
        <v>300</v>
      </c>
      <c r="B146" t="s">
        <v>77</v>
      </c>
      <c r="C146" t="s">
        <v>63</v>
      </c>
      <c r="D146" t="s">
        <v>64</v>
      </c>
      <c r="H146" s="10">
        <v>2980</v>
      </c>
      <c r="J146" s="11">
        <v>2980</v>
      </c>
    </row>
    <row r="147" spans="1:10" x14ac:dyDescent="0.35">
      <c r="A147" t="s">
        <v>301</v>
      </c>
      <c r="B147" t="s">
        <v>77</v>
      </c>
      <c r="C147" t="s">
        <v>63</v>
      </c>
      <c r="D147" t="s">
        <v>64</v>
      </c>
      <c r="H147">
        <v>770</v>
      </c>
      <c r="J147" s="11">
        <v>770</v>
      </c>
    </row>
    <row r="148" spans="1:10" x14ac:dyDescent="0.35">
      <c r="A148" t="s">
        <v>302</v>
      </c>
      <c r="B148" t="s">
        <v>303</v>
      </c>
      <c r="C148" t="s">
        <v>63</v>
      </c>
      <c r="D148" t="s">
        <v>64</v>
      </c>
      <c r="E148" s="10">
        <v>1331</v>
      </c>
      <c r="G148">
        <v>961</v>
      </c>
      <c r="J148" s="11">
        <v>2292</v>
      </c>
    </row>
    <row r="149" spans="1:10" x14ac:dyDescent="0.35">
      <c r="A149" t="s">
        <v>304</v>
      </c>
      <c r="B149" t="s">
        <v>305</v>
      </c>
      <c r="C149" t="s">
        <v>63</v>
      </c>
      <c r="D149" t="s">
        <v>64</v>
      </c>
      <c r="H149" s="10">
        <v>1953</v>
      </c>
      <c r="J149" s="11">
        <v>1953</v>
      </c>
    </row>
    <row r="150" spans="1:10" hidden="1" x14ac:dyDescent="0.35">
      <c r="A150" t="s">
        <v>306</v>
      </c>
      <c r="B150" t="s">
        <v>307</v>
      </c>
      <c r="C150" t="s">
        <v>86</v>
      </c>
      <c r="D150" t="s">
        <v>78</v>
      </c>
      <c r="E150">
        <v>772</v>
      </c>
      <c r="G150">
        <v>230</v>
      </c>
      <c r="H150">
        <v>1</v>
      </c>
      <c r="J150" s="11">
        <v>1003</v>
      </c>
    </row>
    <row r="151" spans="1:10" hidden="1" x14ac:dyDescent="0.35">
      <c r="A151" t="s">
        <v>308</v>
      </c>
      <c r="B151" t="s">
        <v>309</v>
      </c>
      <c r="C151" t="s">
        <v>63</v>
      </c>
      <c r="D151" t="s">
        <v>78</v>
      </c>
      <c r="F151" s="10">
        <v>2731</v>
      </c>
      <c r="J151" s="11">
        <v>2731</v>
      </c>
    </row>
    <row r="152" spans="1:10" x14ac:dyDescent="0.35">
      <c r="A152" t="s">
        <v>310</v>
      </c>
      <c r="B152" t="s">
        <v>311</v>
      </c>
      <c r="C152" t="s">
        <v>63</v>
      </c>
      <c r="D152" t="s">
        <v>64</v>
      </c>
      <c r="G152">
        <v>723</v>
      </c>
      <c r="J152" s="11">
        <v>723</v>
      </c>
    </row>
    <row r="153" spans="1:10" x14ac:dyDescent="0.35">
      <c r="A153" t="s">
        <v>312</v>
      </c>
      <c r="B153" t="s">
        <v>313</v>
      </c>
      <c r="C153" t="s">
        <v>63</v>
      </c>
      <c r="D153" t="s">
        <v>64</v>
      </c>
      <c r="F153">
        <v>578</v>
      </c>
      <c r="H153">
        <v>269</v>
      </c>
      <c r="I153">
        <v>45</v>
      </c>
      <c r="J153" s="11">
        <v>892</v>
      </c>
    </row>
    <row r="154" spans="1:10" x14ac:dyDescent="0.35">
      <c r="A154" t="s">
        <v>314</v>
      </c>
      <c r="B154" t="s">
        <v>313</v>
      </c>
      <c r="C154" t="s">
        <v>63</v>
      </c>
      <c r="D154" t="s">
        <v>64</v>
      </c>
      <c r="F154" s="10">
        <v>12980</v>
      </c>
      <c r="G154">
        <v>7</v>
      </c>
      <c r="H154" s="10">
        <v>3303</v>
      </c>
      <c r="I154">
        <v>796</v>
      </c>
      <c r="J154" s="11">
        <v>17086</v>
      </c>
    </row>
    <row r="155" spans="1:10" x14ac:dyDescent="0.35">
      <c r="A155" t="s">
        <v>315</v>
      </c>
      <c r="B155" t="s">
        <v>186</v>
      </c>
      <c r="C155" t="s">
        <v>63</v>
      </c>
      <c r="D155" t="s">
        <v>64</v>
      </c>
      <c r="H155" s="10">
        <v>3405</v>
      </c>
      <c r="J155" s="11">
        <v>3405</v>
      </c>
    </row>
    <row r="156" spans="1:10" x14ac:dyDescent="0.35">
      <c r="A156" t="s">
        <v>316</v>
      </c>
      <c r="B156" t="s">
        <v>77</v>
      </c>
      <c r="C156" t="s">
        <v>63</v>
      </c>
      <c r="D156" t="s">
        <v>64</v>
      </c>
      <c r="E156">
        <v>673</v>
      </c>
      <c r="G156">
        <v>384</v>
      </c>
      <c r="H156">
        <v>2</v>
      </c>
      <c r="I156">
        <v>0</v>
      </c>
      <c r="J156" s="11">
        <v>1059</v>
      </c>
    </row>
    <row r="157" spans="1:10" x14ac:dyDescent="0.35">
      <c r="A157" t="s">
        <v>317</v>
      </c>
      <c r="B157" t="s">
        <v>318</v>
      </c>
      <c r="C157" t="s">
        <v>63</v>
      </c>
      <c r="D157" t="s">
        <v>64</v>
      </c>
      <c r="H157">
        <v>910</v>
      </c>
      <c r="J157" s="11">
        <v>910</v>
      </c>
    </row>
    <row r="158" spans="1:10" x14ac:dyDescent="0.35">
      <c r="A158" t="s">
        <v>319</v>
      </c>
      <c r="B158" t="s">
        <v>77</v>
      </c>
      <c r="C158" t="s">
        <v>63</v>
      </c>
      <c r="D158" t="s">
        <v>64</v>
      </c>
      <c r="H158" s="10">
        <v>3696</v>
      </c>
      <c r="J158" s="11">
        <v>3696</v>
      </c>
    </row>
    <row r="159" spans="1:10" x14ac:dyDescent="0.35">
      <c r="A159" t="s">
        <v>320</v>
      </c>
      <c r="B159" t="s">
        <v>321</v>
      </c>
      <c r="C159" t="s">
        <v>63</v>
      </c>
      <c r="D159" t="s">
        <v>64</v>
      </c>
      <c r="F159">
        <v>287</v>
      </c>
      <c r="G159">
        <v>12</v>
      </c>
      <c r="H159">
        <v>20</v>
      </c>
      <c r="I159">
        <v>261</v>
      </c>
      <c r="J159" s="11">
        <v>580</v>
      </c>
    </row>
    <row r="160" spans="1:10" x14ac:dyDescent="0.35">
      <c r="A160" t="s">
        <v>322</v>
      </c>
      <c r="B160" t="s">
        <v>321</v>
      </c>
      <c r="C160" t="s">
        <v>63</v>
      </c>
      <c r="D160" t="s">
        <v>64</v>
      </c>
      <c r="I160">
        <v>516</v>
      </c>
      <c r="J160" s="11">
        <v>516</v>
      </c>
    </row>
    <row r="161" spans="1:10" x14ac:dyDescent="0.35">
      <c r="A161" t="s">
        <v>323</v>
      </c>
      <c r="B161" t="s">
        <v>321</v>
      </c>
      <c r="C161" t="s">
        <v>63</v>
      </c>
      <c r="D161" t="s">
        <v>64</v>
      </c>
      <c r="F161">
        <v>853</v>
      </c>
      <c r="I161">
        <v>223</v>
      </c>
      <c r="J161" s="11">
        <v>1076</v>
      </c>
    </row>
    <row r="162" spans="1:10" hidden="1" x14ac:dyDescent="0.35">
      <c r="A162" t="s">
        <v>324</v>
      </c>
      <c r="B162" t="s">
        <v>325</v>
      </c>
      <c r="C162" t="s">
        <v>86</v>
      </c>
      <c r="D162" t="s">
        <v>64</v>
      </c>
      <c r="H162" s="10">
        <v>9491</v>
      </c>
      <c r="J162" s="11">
        <v>9491</v>
      </c>
    </row>
    <row r="163" spans="1:10" x14ac:dyDescent="0.35">
      <c r="A163" t="s">
        <v>326</v>
      </c>
      <c r="B163" t="s">
        <v>180</v>
      </c>
      <c r="C163" t="s">
        <v>63</v>
      </c>
      <c r="D163" t="s">
        <v>64</v>
      </c>
      <c r="I163" s="10">
        <v>1342</v>
      </c>
      <c r="J163" s="11">
        <v>1342</v>
      </c>
    </row>
    <row r="164" spans="1:10" x14ac:dyDescent="0.35">
      <c r="A164" t="s">
        <v>327</v>
      </c>
      <c r="B164" t="s">
        <v>313</v>
      </c>
      <c r="C164" t="s">
        <v>63</v>
      </c>
      <c r="D164" t="s">
        <v>64</v>
      </c>
      <c r="F164">
        <v>166</v>
      </c>
      <c r="H164">
        <v>315</v>
      </c>
      <c r="I164">
        <v>182</v>
      </c>
      <c r="J164" s="11">
        <v>663</v>
      </c>
    </row>
    <row r="165" spans="1:10" x14ac:dyDescent="0.35">
      <c r="A165" t="s">
        <v>328</v>
      </c>
      <c r="B165" t="s">
        <v>313</v>
      </c>
      <c r="C165" t="s">
        <v>63</v>
      </c>
      <c r="D165" t="s">
        <v>64</v>
      </c>
      <c r="F165" s="10">
        <v>3410</v>
      </c>
      <c r="G165">
        <v>0</v>
      </c>
      <c r="H165">
        <v>557</v>
      </c>
      <c r="I165">
        <v>496</v>
      </c>
      <c r="J165" s="11">
        <v>4463</v>
      </c>
    </row>
    <row r="166" spans="1:10" hidden="1" x14ac:dyDescent="0.35">
      <c r="A166" t="s">
        <v>329</v>
      </c>
      <c r="B166" t="s">
        <v>77</v>
      </c>
      <c r="C166" t="s">
        <v>63</v>
      </c>
      <c r="D166" t="s">
        <v>73</v>
      </c>
      <c r="H166">
        <v>604</v>
      </c>
      <c r="J166" s="11">
        <v>604</v>
      </c>
    </row>
    <row r="167" spans="1:10" x14ac:dyDescent="0.35">
      <c r="A167" t="s">
        <v>330</v>
      </c>
      <c r="B167" t="s">
        <v>77</v>
      </c>
      <c r="C167" t="s">
        <v>63</v>
      </c>
      <c r="D167" t="s">
        <v>64</v>
      </c>
      <c r="F167">
        <v>553</v>
      </c>
      <c r="J167" s="11">
        <v>553</v>
      </c>
    </row>
    <row r="168" spans="1:10" x14ac:dyDescent="0.35">
      <c r="A168" t="s">
        <v>331</v>
      </c>
      <c r="B168" t="s">
        <v>332</v>
      </c>
      <c r="C168" t="s">
        <v>63</v>
      </c>
      <c r="D168" t="s">
        <v>64</v>
      </c>
      <c r="F168" s="10">
        <v>5817</v>
      </c>
      <c r="H168" s="10">
        <v>2362</v>
      </c>
      <c r="I168">
        <v>235</v>
      </c>
      <c r="J168" s="11">
        <v>8414</v>
      </c>
    </row>
    <row r="169" spans="1:10" x14ac:dyDescent="0.35">
      <c r="A169" t="s">
        <v>333</v>
      </c>
      <c r="B169" t="s">
        <v>334</v>
      </c>
      <c r="C169" t="s">
        <v>63</v>
      </c>
      <c r="D169" t="s">
        <v>64</v>
      </c>
      <c r="H169">
        <v>644</v>
      </c>
      <c r="J169" s="11">
        <v>644</v>
      </c>
    </row>
    <row r="170" spans="1:10" hidden="1" x14ac:dyDescent="0.35">
      <c r="A170" t="s">
        <v>335</v>
      </c>
      <c r="B170" t="s">
        <v>72</v>
      </c>
      <c r="C170" t="s">
        <v>63</v>
      </c>
      <c r="D170" t="s">
        <v>73</v>
      </c>
      <c r="H170" s="10">
        <v>7519</v>
      </c>
      <c r="J170" s="11">
        <v>7519</v>
      </c>
    </row>
    <row r="171" spans="1:10" hidden="1" x14ac:dyDescent="0.35">
      <c r="A171" t="s">
        <v>336</v>
      </c>
      <c r="B171" t="s">
        <v>236</v>
      </c>
      <c r="C171" t="s">
        <v>63</v>
      </c>
      <c r="D171" t="s">
        <v>237</v>
      </c>
      <c r="E171" s="10">
        <v>1108</v>
      </c>
      <c r="H171">
        <v>494</v>
      </c>
      <c r="J171" s="11">
        <v>1602</v>
      </c>
    </row>
    <row r="172" spans="1:10" x14ac:dyDescent="0.35">
      <c r="A172" t="s">
        <v>337</v>
      </c>
      <c r="B172" t="s">
        <v>338</v>
      </c>
      <c r="C172" t="s">
        <v>63</v>
      </c>
      <c r="D172" t="s">
        <v>64</v>
      </c>
      <c r="E172" s="10">
        <v>60432</v>
      </c>
      <c r="F172">
        <v>16</v>
      </c>
      <c r="G172" s="10">
        <v>4106</v>
      </c>
      <c r="H172">
        <v>95</v>
      </c>
      <c r="I172">
        <v>92</v>
      </c>
      <c r="J172" s="11">
        <v>64741</v>
      </c>
    </row>
    <row r="173" spans="1:10" x14ac:dyDescent="0.35">
      <c r="A173" t="s">
        <v>339</v>
      </c>
      <c r="B173" t="s">
        <v>172</v>
      </c>
      <c r="C173" t="s">
        <v>63</v>
      </c>
      <c r="D173" t="s">
        <v>64</v>
      </c>
      <c r="E173">
        <v>0</v>
      </c>
      <c r="F173" s="10">
        <v>5241</v>
      </c>
      <c r="G173">
        <v>0</v>
      </c>
      <c r="H173">
        <v>11</v>
      </c>
      <c r="I173">
        <v>168</v>
      </c>
      <c r="J173" s="11">
        <v>5420</v>
      </c>
    </row>
    <row r="174" spans="1:10" x14ac:dyDescent="0.35">
      <c r="A174" t="s">
        <v>340</v>
      </c>
      <c r="B174" t="s">
        <v>77</v>
      </c>
      <c r="C174" t="s">
        <v>63</v>
      </c>
      <c r="D174" t="s">
        <v>64</v>
      </c>
      <c r="F174">
        <v>268</v>
      </c>
      <c r="H174">
        <v>353</v>
      </c>
      <c r="I174">
        <v>364</v>
      </c>
      <c r="J174" s="11">
        <v>985</v>
      </c>
    </row>
    <row r="175" spans="1:10" x14ac:dyDescent="0.35">
      <c r="A175" t="s">
        <v>341</v>
      </c>
      <c r="B175" t="s">
        <v>135</v>
      </c>
      <c r="C175" t="s">
        <v>63</v>
      </c>
      <c r="D175" t="s">
        <v>64</v>
      </c>
      <c r="E175">
        <v>0</v>
      </c>
      <c r="F175" s="10">
        <v>5592</v>
      </c>
      <c r="G175">
        <v>0</v>
      </c>
      <c r="H175" s="10">
        <v>1007</v>
      </c>
      <c r="I175" s="10">
        <v>1163</v>
      </c>
      <c r="J175" s="11">
        <v>7762</v>
      </c>
    </row>
    <row r="176" spans="1:10" x14ac:dyDescent="0.35">
      <c r="A176" t="s">
        <v>342</v>
      </c>
      <c r="B176" t="s">
        <v>77</v>
      </c>
      <c r="C176" t="s">
        <v>63</v>
      </c>
      <c r="D176" t="s">
        <v>64</v>
      </c>
      <c r="E176">
        <v>315</v>
      </c>
      <c r="J176" s="11">
        <v>315</v>
      </c>
    </row>
    <row r="177" spans="1:10" x14ac:dyDescent="0.35">
      <c r="A177" t="s">
        <v>343</v>
      </c>
      <c r="B177" t="s">
        <v>344</v>
      </c>
      <c r="C177" t="s">
        <v>63</v>
      </c>
      <c r="D177" t="s">
        <v>64</v>
      </c>
      <c r="E177">
        <v>882</v>
      </c>
      <c r="G177">
        <v>398</v>
      </c>
      <c r="J177" s="11">
        <v>1280</v>
      </c>
    </row>
    <row r="178" spans="1:10" x14ac:dyDescent="0.35">
      <c r="A178" t="s">
        <v>345</v>
      </c>
      <c r="B178" t="s">
        <v>346</v>
      </c>
      <c r="C178" t="s">
        <v>63</v>
      </c>
      <c r="D178" t="s">
        <v>64</v>
      </c>
      <c r="H178">
        <v>87</v>
      </c>
      <c r="J178" s="11">
        <v>87</v>
      </c>
    </row>
    <row r="179" spans="1:10" x14ac:dyDescent="0.35">
      <c r="A179" t="s">
        <v>347</v>
      </c>
      <c r="B179" t="s">
        <v>348</v>
      </c>
      <c r="C179" t="s">
        <v>63</v>
      </c>
      <c r="D179" t="s">
        <v>64</v>
      </c>
      <c r="H179" s="10">
        <v>2101</v>
      </c>
      <c r="J179" s="11">
        <v>2101</v>
      </c>
    </row>
    <row r="180" spans="1:10" x14ac:dyDescent="0.35">
      <c r="A180" t="s">
        <v>349</v>
      </c>
      <c r="B180" t="s">
        <v>176</v>
      </c>
      <c r="C180" t="s">
        <v>63</v>
      </c>
      <c r="D180" t="s">
        <v>64</v>
      </c>
      <c r="E180" s="10">
        <v>3820</v>
      </c>
      <c r="F180">
        <v>51</v>
      </c>
      <c r="G180">
        <v>704</v>
      </c>
      <c r="I180">
        <v>66</v>
      </c>
      <c r="J180" s="11">
        <v>4641</v>
      </c>
    </row>
    <row r="181" spans="1:10" x14ac:dyDescent="0.35">
      <c r="A181" t="s">
        <v>350</v>
      </c>
      <c r="B181" t="s">
        <v>351</v>
      </c>
      <c r="C181" t="s">
        <v>63</v>
      </c>
      <c r="D181" t="s">
        <v>64</v>
      </c>
      <c r="H181" s="10">
        <v>5669</v>
      </c>
      <c r="J181" s="11">
        <v>5669</v>
      </c>
    </row>
    <row r="182" spans="1:10" x14ac:dyDescent="0.35">
      <c r="A182" t="s">
        <v>352</v>
      </c>
      <c r="B182" t="s">
        <v>353</v>
      </c>
      <c r="C182" t="s">
        <v>63</v>
      </c>
      <c r="D182" t="s">
        <v>64</v>
      </c>
      <c r="H182" s="10">
        <v>1472</v>
      </c>
      <c r="J182" s="11">
        <v>1472</v>
      </c>
    </row>
    <row r="183" spans="1:10" x14ac:dyDescent="0.35">
      <c r="A183" t="s">
        <v>354</v>
      </c>
      <c r="B183" t="s">
        <v>355</v>
      </c>
      <c r="C183" t="s">
        <v>63</v>
      </c>
      <c r="D183" t="s">
        <v>64</v>
      </c>
      <c r="F183">
        <v>601</v>
      </c>
      <c r="H183">
        <v>3</v>
      </c>
      <c r="I183">
        <v>236</v>
      </c>
      <c r="J183" s="11">
        <v>840</v>
      </c>
    </row>
    <row r="184" spans="1:10" x14ac:dyDescent="0.35">
      <c r="A184" t="s">
        <v>356</v>
      </c>
      <c r="B184" t="s">
        <v>355</v>
      </c>
      <c r="C184" t="s">
        <v>63</v>
      </c>
      <c r="D184" t="s">
        <v>64</v>
      </c>
      <c r="E184">
        <v>0</v>
      </c>
      <c r="F184" s="10">
        <v>2020</v>
      </c>
      <c r="G184">
        <v>13</v>
      </c>
      <c r="H184">
        <v>95</v>
      </c>
      <c r="I184" s="10">
        <v>1597</v>
      </c>
      <c r="J184" s="11">
        <v>3725</v>
      </c>
    </row>
    <row r="185" spans="1:10" hidden="1" x14ac:dyDescent="0.35">
      <c r="A185" t="s">
        <v>357</v>
      </c>
      <c r="B185" t="s">
        <v>77</v>
      </c>
      <c r="C185" t="s">
        <v>63</v>
      </c>
      <c r="D185" t="s">
        <v>78</v>
      </c>
      <c r="E185" s="10">
        <v>17323</v>
      </c>
      <c r="J185" s="11">
        <v>17323</v>
      </c>
    </row>
    <row r="186" spans="1:10" x14ac:dyDescent="0.35">
      <c r="A186" t="s">
        <v>358</v>
      </c>
      <c r="B186" t="s">
        <v>359</v>
      </c>
      <c r="C186" t="s">
        <v>63</v>
      </c>
      <c r="D186" t="s">
        <v>64</v>
      </c>
      <c r="H186" s="10">
        <v>1075</v>
      </c>
      <c r="J186" s="11">
        <v>1075</v>
      </c>
    </row>
    <row r="187" spans="1:10" hidden="1" x14ac:dyDescent="0.35">
      <c r="A187" t="s">
        <v>360</v>
      </c>
      <c r="B187" t="s">
        <v>361</v>
      </c>
      <c r="C187" t="s">
        <v>63</v>
      </c>
      <c r="D187" t="s">
        <v>78</v>
      </c>
      <c r="G187">
        <v>636</v>
      </c>
      <c r="J187" s="11">
        <v>636</v>
      </c>
    </row>
    <row r="188" spans="1:10" x14ac:dyDescent="0.35">
      <c r="A188" t="s">
        <v>362</v>
      </c>
      <c r="B188" t="s">
        <v>363</v>
      </c>
      <c r="C188" t="s">
        <v>63</v>
      </c>
      <c r="D188" t="s">
        <v>64</v>
      </c>
      <c r="H188" s="10">
        <v>2771</v>
      </c>
      <c r="J188" s="11">
        <v>2771</v>
      </c>
    </row>
    <row r="189" spans="1:10" x14ac:dyDescent="0.35">
      <c r="A189" t="s">
        <v>364</v>
      </c>
      <c r="B189" t="s">
        <v>365</v>
      </c>
      <c r="C189" t="s">
        <v>63</v>
      </c>
      <c r="D189" t="s">
        <v>64</v>
      </c>
      <c r="H189">
        <v>314</v>
      </c>
      <c r="J189" s="11">
        <v>314</v>
      </c>
    </row>
    <row r="190" spans="1:10" hidden="1" x14ac:dyDescent="0.35">
      <c r="A190" t="s">
        <v>366</v>
      </c>
      <c r="B190" t="s">
        <v>367</v>
      </c>
      <c r="C190" t="s">
        <v>63</v>
      </c>
      <c r="D190" t="s">
        <v>237</v>
      </c>
      <c r="H190" s="10">
        <v>4861</v>
      </c>
      <c r="J190" s="11">
        <v>4861</v>
      </c>
    </row>
    <row r="191" spans="1:10" hidden="1" x14ac:dyDescent="0.35">
      <c r="A191" t="s">
        <v>368</v>
      </c>
      <c r="B191" t="s">
        <v>367</v>
      </c>
      <c r="C191" t="s">
        <v>63</v>
      </c>
      <c r="D191" t="s">
        <v>237</v>
      </c>
      <c r="H191" s="10">
        <v>2672</v>
      </c>
      <c r="J191" s="11">
        <v>2672</v>
      </c>
    </row>
    <row r="192" spans="1:10" x14ac:dyDescent="0.35">
      <c r="A192" t="s">
        <v>369</v>
      </c>
      <c r="B192" t="s">
        <v>184</v>
      </c>
      <c r="C192" t="s">
        <v>63</v>
      </c>
      <c r="D192" t="s">
        <v>64</v>
      </c>
      <c r="E192" s="10">
        <v>8554</v>
      </c>
      <c r="F192">
        <v>0</v>
      </c>
      <c r="G192" s="10">
        <v>1067</v>
      </c>
      <c r="H192">
        <v>1</v>
      </c>
      <c r="I192">
        <v>0</v>
      </c>
      <c r="J192" s="11">
        <v>9622</v>
      </c>
    </row>
    <row r="193" spans="1:10" hidden="1" x14ac:dyDescent="0.35">
      <c r="A193" t="s">
        <v>370</v>
      </c>
      <c r="B193" t="s">
        <v>170</v>
      </c>
      <c r="C193" t="s">
        <v>63</v>
      </c>
      <c r="D193" t="s">
        <v>78</v>
      </c>
      <c r="G193" s="10">
        <v>1481</v>
      </c>
      <c r="J193" s="11">
        <v>1481</v>
      </c>
    </row>
    <row r="194" spans="1:10" hidden="1" x14ac:dyDescent="0.35">
      <c r="A194" t="s">
        <v>371</v>
      </c>
      <c r="B194" t="s">
        <v>77</v>
      </c>
      <c r="C194" t="s">
        <v>86</v>
      </c>
      <c r="D194" t="s">
        <v>64</v>
      </c>
      <c r="F194">
        <v>74</v>
      </c>
      <c r="H194" s="10">
        <v>4939</v>
      </c>
      <c r="I194">
        <v>63</v>
      </c>
      <c r="J194" s="11">
        <v>5076</v>
      </c>
    </row>
    <row r="195" spans="1:10" hidden="1" x14ac:dyDescent="0.35">
      <c r="A195" t="s">
        <v>372</v>
      </c>
      <c r="B195" t="s">
        <v>278</v>
      </c>
      <c r="C195" t="s">
        <v>86</v>
      </c>
      <c r="D195" t="s">
        <v>64</v>
      </c>
      <c r="F195" s="10">
        <v>6508</v>
      </c>
      <c r="G195">
        <v>34</v>
      </c>
      <c r="H195">
        <v>750</v>
      </c>
      <c r="I195" s="10">
        <v>2600</v>
      </c>
      <c r="J195" s="11">
        <v>9892</v>
      </c>
    </row>
    <row r="196" spans="1:10" x14ac:dyDescent="0.35">
      <c r="A196" t="s">
        <v>373</v>
      </c>
      <c r="B196" t="s">
        <v>180</v>
      </c>
      <c r="C196" t="s">
        <v>63</v>
      </c>
      <c r="D196" t="s">
        <v>64</v>
      </c>
      <c r="E196" s="10">
        <v>18544</v>
      </c>
      <c r="F196">
        <v>6</v>
      </c>
      <c r="G196" s="10">
        <v>1206</v>
      </c>
      <c r="H196">
        <v>26</v>
      </c>
      <c r="I196">
        <v>102</v>
      </c>
      <c r="J196" s="11">
        <v>19884</v>
      </c>
    </row>
    <row r="197" spans="1:10" x14ac:dyDescent="0.35">
      <c r="A197" t="s">
        <v>374</v>
      </c>
      <c r="B197" t="s">
        <v>375</v>
      </c>
      <c r="C197" t="s">
        <v>63</v>
      </c>
      <c r="D197" t="s">
        <v>64</v>
      </c>
      <c r="G197" s="10">
        <v>3173</v>
      </c>
      <c r="J197" s="11">
        <v>3173</v>
      </c>
    </row>
    <row r="198" spans="1:10" x14ac:dyDescent="0.35">
      <c r="A198" t="s">
        <v>376</v>
      </c>
      <c r="B198" t="s">
        <v>377</v>
      </c>
      <c r="C198" t="s">
        <v>63</v>
      </c>
      <c r="D198" t="s">
        <v>64</v>
      </c>
      <c r="H198" s="10">
        <v>3950</v>
      </c>
      <c r="J198" s="11">
        <v>3950</v>
      </c>
    </row>
    <row r="199" spans="1:10" x14ac:dyDescent="0.35">
      <c r="A199" t="s">
        <v>378</v>
      </c>
      <c r="B199" t="s">
        <v>77</v>
      </c>
      <c r="C199" t="s">
        <v>63</v>
      </c>
      <c r="D199" t="s">
        <v>64</v>
      </c>
      <c r="E199">
        <v>513</v>
      </c>
      <c r="I199" s="10">
        <v>1691</v>
      </c>
      <c r="J199" s="11">
        <v>2204</v>
      </c>
    </row>
    <row r="200" spans="1:10" x14ac:dyDescent="0.35">
      <c r="A200" t="s">
        <v>379</v>
      </c>
      <c r="B200" t="s">
        <v>77</v>
      </c>
      <c r="C200" t="s">
        <v>63</v>
      </c>
      <c r="D200" t="s">
        <v>64</v>
      </c>
      <c r="F200">
        <v>917</v>
      </c>
      <c r="G200">
        <v>1</v>
      </c>
      <c r="H200">
        <v>3</v>
      </c>
      <c r="I200">
        <v>121</v>
      </c>
      <c r="J200" s="11">
        <v>1042</v>
      </c>
    </row>
    <row r="201" spans="1:10" x14ac:dyDescent="0.35">
      <c r="A201" t="s">
        <v>380</v>
      </c>
      <c r="B201" t="s">
        <v>381</v>
      </c>
      <c r="C201" t="s">
        <v>63</v>
      </c>
      <c r="D201" t="s">
        <v>64</v>
      </c>
      <c r="E201" s="10">
        <v>32154</v>
      </c>
      <c r="G201" s="10">
        <v>1523</v>
      </c>
      <c r="H201">
        <v>28</v>
      </c>
      <c r="J201" s="11">
        <v>33705</v>
      </c>
    </row>
    <row r="202" spans="1:10" x14ac:dyDescent="0.35">
      <c r="A202" t="s">
        <v>382</v>
      </c>
      <c r="B202" t="s">
        <v>383</v>
      </c>
      <c r="C202" t="s">
        <v>63</v>
      </c>
      <c r="D202" t="s">
        <v>64</v>
      </c>
      <c r="H202" s="10">
        <v>37282</v>
      </c>
      <c r="J202" s="11">
        <v>37282</v>
      </c>
    </row>
    <row r="203" spans="1:10" x14ac:dyDescent="0.35">
      <c r="A203" t="s">
        <v>384</v>
      </c>
      <c r="B203" t="s">
        <v>385</v>
      </c>
      <c r="C203" t="s">
        <v>63</v>
      </c>
      <c r="D203" t="s">
        <v>64</v>
      </c>
      <c r="E203" s="10">
        <v>1747</v>
      </c>
      <c r="J203" s="11">
        <v>1747</v>
      </c>
    </row>
    <row r="204" spans="1:10" x14ac:dyDescent="0.35">
      <c r="A204" t="s">
        <v>386</v>
      </c>
      <c r="B204" t="s">
        <v>387</v>
      </c>
      <c r="C204" t="s">
        <v>63</v>
      </c>
      <c r="D204" t="s">
        <v>64</v>
      </c>
      <c r="E204">
        <v>66</v>
      </c>
      <c r="F204">
        <v>6</v>
      </c>
      <c r="G204">
        <v>14</v>
      </c>
      <c r="I204">
        <v>462</v>
      </c>
      <c r="J204" s="11">
        <v>548</v>
      </c>
    </row>
    <row r="205" spans="1:10" x14ac:dyDescent="0.35">
      <c r="A205" t="s">
        <v>388</v>
      </c>
      <c r="B205" t="s">
        <v>311</v>
      </c>
      <c r="C205" t="s">
        <v>63</v>
      </c>
      <c r="D205" t="s">
        <v>64</v>
      </c>
      <c r="G205">
        <v>682</v>
      </c>
      <c r="J205" s="11">
        <v>682</v>
      </c>
    </row>
    <row r="206" spans="1:10" x14ac:dyDescent="0.35">
      <c r="A206" t="s">
        <v>389</v>
      </c>
      <c r="B206" t="s">
        <v>390</v>
      </c>
      <c r="C206" t="s">
        <v>63</v>
      </c>
      <c r="D206" t="s">
        <v>64</v>
      </c>
      <c r="H206">
        <v>629</v>
      </c>
      <c r="J206" s="11">
        <v>629</v>
      </c>
    </row>
    <row r="207" spans="1:10" hidden="1" x14ac:dyDescent="0.35">
      <c r="A207" t="s">
        <v>391</v>
      </c>
      <c r="B207" t="s">
        <v>392</v>
      </c>
      <c r="C207" t="s">
        <v>63</v>
      </c>
      <c r="D207" t="s">
        <v>78</v>
      </c>
      <c r="H207" s="10">
        <v>2188</v>
      </c>
      <c r="J207" s="11">
        <v>2188</v>
      </c>
    </row>
    <row r="208" spans="1:10" x14ac:dyDescent="0.35">
      <c r="A208" t="s">
        <v>393</v>
      </c>
      <c r="B208" t="s">
        <v>394</v>
      </c>
      <c r="C208" t="s">
        <v>63</v>
      </c>
      <c r="D208" t="s">
        <v>64</v>
      </c>
      <c r="F208">
        <v>569</v>
      </c>
      <c r="I208" s="10">
        <v>1075</v>
      </c>
      <c r="J208" s="11">
        <v>1644</v>
      </c>
    </row>
    <row r="209" spans="1:10" x14ac:dyDescent="0.35">
      <c r="A209" t="s">
        <v>395</v>
      </c>
      <c r="B209" t="s">
        <v>396</v>
      </c>
      <c r="C209" t="s">
        <v>63</v>
      </c>
      <c r="D209" t="s">
        <v>64</v>
      </c>
      <c r="E209" s="10">
        <v>18304</v>
      </c>
      <c r="J209" s="11">
        <v>18304</v>
      </c>
    </row>
    <row r="210" spans="1:10" hidden="1" x14ac:dyDescent="0.35">
      <c r="A210" t="s">
        <v>397</v>
      </c>
      <c r="B210" t="s">
        <v>398</v>
      </c>
      <c r="C210" t="s">
        <v>86</v>
      </c>
      <c r="D210" t="s">
        <v>64</v>
      </c>
      <c r="H210" s="10">
        <v>10197</v>
      </c>
      <c r="J210" s="11">
        <v>10197</v>
      </c>
    </row>
    <row r="211" spans="1:10" hidden="1" x14ac:dyDescent="0.35">
      <c r="A211" t="s">
        <v>399</v>
      </c>
      <c r="B211" t="s">
        <v>400</v>
      </c>
      <c r="C211" t="s">
        <v>63</v>
      </c>
      <c r="D211" t="s">
        <v>78</v>
      </c>
      <c r="H211">
        <v>252</v>
      </c>
      <c r="J211" s="11">
        <v>252</v>
      </c>
    </row>
    <row r="212" spans="1:10" x14ac:dyDescent="0.35">
      <c r="A212" t="s">
        <v>401</v>
      </c>
      <c r="B212" t="s">
        <v>402</v>
      </c>
      <c r="C212" t="s">
        <v>63</v>
      </c>
      <c r="D212" t="s">
        <v>64</v>
      </c>
      <c r="H212">
        <v>15</v>
      </c>
      <c r="J212" s="11">
        <v>15</v>
      </c>
    </row>
    <row r="213" spans="1:10" x14ac:dyDescent="0.35">
      <c r="A213" t="s">
        <v>403</v>
      </c>
      <c r="B213" t="s">
        <v>77</v>
      </c>
      <c r="C213" t="s">
        <v>63</v>
      </c>
      <c r="D213" t="s">
        <v>64</v>
      </c>
      <c r="F213">
        <v>440</v>
      </c>
      <c r="H213">
        <v>87</v>
      </c>
      <c r="I213">
        <v>217</v>
      </c>
      <c r="J213" s="11">
        <v>744</v>
      </c>
    </row>
    <row r="214" spans="1:10" x14ac:dyDescent="0.35">
      <c r="A214" t="s">
        <v>404</v>
      </c>
      <c r="B214" t="s">
        <v>102</v>
      </c>
      <c r="C214" t="s">
        <v>63</v>
      </c>
      <c r="D214" t="s">
        <v>64</v>
      </c>
      <c r="H214">
        <v>507</v>
      </c>
      <c r="J214" s="11">
        <v>507</v>
      </c>
    </row>
    <row r="215" spans="1:10" x14ac:dyDescent="0.35">
      <c r="A215" t="s">
        <v>405</v>
      </c>
      <c r="B215" t="s">
        <v>406</v>
      </c>
      <c r="C215" t="s">
        <v>63</v>
      </c>
      <c r="D215" t="s">
        <v>64</v>
      </c>
      <c r="H215" s="10">
        <v>1240</v>
      </c>
      <c r="J215" s="11">
        <v>1240</v>
      </c>
    </row>
    <row r="216" spans="1:10" x14ac:dyDescent="0.35">
      <c r="A216" t="s">
        <v>407</v>
      </c>
      <c r="B216" t="s">
        <v>77</v>
      </c>
      <c r="C216" t="s">
        <v>63</v>
      </c>
      <c r="D216" t="s">
        <v>64</v>
      </c>
      <c r="E216" s="10">
        <v>1832</v>
      </c>
      <c r="G216">
        <v>532</v>
      </c>
      <c r="H216">
        <v>9</v>
      </c>
      <c r="I216">
        <v>1</v>
      </c>
      <c r="J216" s="11">
        <v>2374</v>
      </c>
    </row>
    <row r="217" spans="1:10" hidden="1" x14ac:dyDescent="0.35">
      <c r="A217" t="s">
        <v>408</v>
      </c>
      <c r="B217" t="s">
        <v>409</v>
      </c>
      <c r="C217" t="s">
        <v>63</v>
      </c>
      <c r="D217" t="s">
        <v>78</v>
      </c>
      <c r="E217" s="10">
        <v>1519</v>
      </c>
      <c r="J217" s="11">
        <v>1519</v>
      </c>
    </row>
    <row r="218" spans="1:10" x14ac:dyDescent="0.35">
      <c r="A218" t="s">
        <v>410</v>
      </c>
      <c r="B218" t="s">
        <v>411</v>
      </c>
      <c r="C218" t="s">
        <v>63</v>
      </c>
      <c r="D218" t="s">
        <v>64</v>
      </c>
      <c r="E218" s="10">
        <v>6387</v>
      </c>
      <c r="I218">
        <v>4</v>
      </c>
      <c r="J218" s="11">
        <v>6391</v>
      </c>
    </row>
    <row r="219" spans="1:10" x14ac:dyDescent="0.35">
      <c r="A219" t="s">
        <v>412</v>
      </c>
      <c r="B219" t="s">
        <v>413</v>
      </c>
      <c r="C219" t="s">
        <v>63</v>
      </c>
      <c r="D219" t="s">
        <v>64</v>
      </c>
      <c r="E219">
        <v>0</v>
      </c>
      <c r="F219">
        <v>764</v>
      </c>
      <c r="G219">
        <v>3</v>
      </c>
      <c r="H219" s="10">
        <v>1851</v>
      </c>
      <c r="I219">
        <v>278</v>
      </c>
      <c r="J219" s="11">
        <v>2896</v>
      </c>
    </row>
    <row r="220" spans="1:10" x14ac:dyDescent="0.35">
      <c r="A220" t="s">
        <v>414</v>
      </c>
      <c r="B220" t="s">
        <v>413</v>
      </c>
      <c r="C220" t="s">
        <v>63</v>
      </c>
      <c r="D220" t="s">
        <v>64</v>
      </c>
      <c r="H220" s="10">
        <v>3407</v>
      </c>
      <c r="J220" s="11">
        <v>3407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ED218-44F0-4E74-ACE1-C45D86A97243}">
  <dimension ref="A1:J220"/>
  <sheetViews>
    <sheetView zoomScaleNormal="100" workbookViewId="0">
      <selection activeCell="E25" sqref="E25"/>
    </sheetView>
  </sheetViews>
  <sheetFormatPr defaultRowHeight="14.5" x14ac:dyDescent="0.35"/>
  <cols>
    <col min="1" max="1" width="58" bestFit="1" customWidth="1"/>
    <col min="2" max="2" width="44.81640625" bestFit="1" customWidth="1"/>
    <col min="3" max="3" width="16.7265625" customWidth="1"/>
    <col min="4" max="4" width="22.81640625" bestFit="1" customWidth="1"/>
    <col min="5" max="5" width="24.81640625" customWidth="1"/>
    <col min="6" max="6" width="26.26953125" customWidth="1"/>
    <col min="7" max="7" width="15.7265625" customWidth="1"/>
    <col min="8" max="8" width="28.1796875" customWidth="1"/>
    <col min="9" max="9" width="14.453125" customWidth="1"/>
    <col min="10" max="10" width="14.81640625" customWidth="1"/>
  </cols>
  <sheetData>
    <row r="1" spans="1:10" x14ac:dyDescent="0.35">
      <c r="A1" t="s">
        <v>52</v>
      </c>
      <c r="B1" t="s">
        <v>53</v>
      </c>
      <c r="C1" t="s">
        <v>54</v>
      </c>
      <c r="D1" t="s">
        <v>7</v>
      </c>
      <c r="E1" t="s">
        <v>55</v>
      </c>
      <c r="F1" t="s">
        <v>56</v>
      </c>
      <c r="G1" t="s">
        <v>57</v>
      </c>
      <c r="H1" t="s">
        <v>58</v>
      </c>
      <c r="I1" t="s">
        <v>59</v>
      </c>
      <c r="J1" s="11" t="s">
        <v>60</v>
      </c>
    </row>
    <row r="2" spans="1:10" x14ac:dyDescent="0.35">
      <c r="A2" t="s">
        <v>61</v>
      </c>
      <c r="B2" t="s">
        <v>62</v>
      </c>
      <c r="C2" t="s">
        <v>63</v>
      </c>
      <c r="D2" t="s">
        <v>64</v>
      </c>
      <c r="E2">
        <v>12</v>
      </c>
      <c r="G2">
        <v>899</v>
      </c>
      <c r="H2" s="10"/>
      <c r="J2" s="11">
        <v>911</v>
      </c>
    </row>
    <row r="3" spans="1:10" x14ac:dyDescent="0.35">
      <c r="A3" t="s">
        <v>65</v>
      </c>
      <c r="B3" t="s">
        <v>66</v>
      </c>
      <c r="C3" t="s">
        <v>63</v>
      </c>
      <c r="D3" t="s">
        <v>64</v>
      </c>
      <c r="H3" s="10">
        <v>4046</v>
      </c>
      <c r="J3" s="11">
        <v>4046</v>
      </c>
    </row>
    <row r="4" spans="1:10" x14ac:dyDescent="0.35">
      <c r="A4" t="s">
        <v>67</v>
      </c>
      <c r="B4" t="s">
        <v>68</v>
      </c>
      <c r="C4" t="s">
        <v>63</v>
      </c>
      <c r="D4" t="s">
        <v>64</v>
      </c>
      <c r="H4" s="10">
        <v>669</v>
      </c>
      <c r="J4" s="11">
        <v>669</v>
      </c>
    </row>
    <row r="5" spans="1:10" x14ac:dyDescent="0.35">
      <c r="A5" t="s">
        <v>69</v>
      </c>
      <c r="B5" t="s">
        <v>70</v>
      </c>
      <c r="C5" t="s">
        <v>63</v>
      </c>
      <c r="D5" t="s">
        <v>64</v>
      </c>
      <c r="H5" s="10">
        <v>741</v>
      </c>
      <c r="J5" s="11">
        <v>741</v>
      </c>
    </row>
    <row r="6" spans="1:10" x14ac:dyDescent="0.35">
      <c r="A6" t="s">
        <v>71</v>
      </c>
      <c r="B6" t="s">
        <v>72</v>
      </c>
      <c r="C6" t="s">
        <v>63</v>
      </c>
      <c r="D6" t="s">
        <v>73</v>
      </c>
      <c r="H6" s="10">
        <v>1781</v>
      </c>
      <c r="J6" s="11">
        <v>1781</v>
      </c>
    </row>
    <row r="7" spans="1:10" x14ac:dyDescent="0.35">
      <c r="A7" t="s">
        <v>74</v>
      </c>
      <c r="B7" t="s">
        <v>75</v>
      </c>
      <c r="C7" t="s">
        <v>63</v>
      </c>
      <c r="D7" t="s">
        <v>64</v>
      </c>
      <c r="G7">
        <v>14</v>
      </c>
      <c r="H7" s="10"/>
      <c r="J7" s="11">
        <v>14</v>
      </c>
    </row>
    <row r="8" spans="1:10" x14ac:dyDescent="0.35">
      <c r="A8" t="s">
        <v>76</v>
      </c>
      <c r="B8" t="s">
        <v>77</v>
      </c>
      <c r="C8" t="s">
        <v>63</v>
      </c>
      <c r="D8" t="s">
        <v>78</v>
      </c>
      <c r="H8" s="10">
        <v>2500</v>
      </c>
      <c r="J8" s="11">
        <v>2500</v>
      </c>
    </row>
    <row r="9" spans="1:10" x14ac:dyDescent="0.35">
      <c r="A9" t="s">
        <v>79</v>
      </c>
      <c r="B9" t="s">
        <v>80</v>
      </c>
      <c r="C9" t="s">
        <v>63</v>
      </c>
      <c r="D9" t="s">
        <v>64</v>
      </c>
      <c r="H9" s="10">
        <v>671</v>
      </c>
      <c r="J9" s="11">
        <v>671</v>
      </c>
    </row>
    <row r="10" spans="1:10" x14ac:dyDescent="0.35">
      <c r="A10" t="s">
        <v>81</v>
      </c>
      <c r="B10" t="s">
        <v>82</v>
      </c>
      <c r="C10" t="s">
        <v>63</v>
      </c>
      <c r="D10" t="s">
        <v>64</v>
      </c>
      <c r="E10" s="10"/>
      <c r="H10" s="10">
        <v>4463</v>
      </c>
      <c r="J10" s="11">
        <v>4463</v>
      </c>
    </row>
    <row r="11" spans="1:10" x14ac:dyDescent="0.35">
      <c r="A11" t="s">
        <v>83</v>
      </c>
      <c r="B11" t="s">
        <v>82</v>
      </c>
      <c r="C11" t="s">
        <v>63</v>
      </c>
      <c r="D11" t="s">
        <v>64</v>
      </c>
      <c r="E11" s="10"/>
      <c r="H11">
        <v>888</v>
      </c>
      <c r="J11" s="11">
        <v>888</v>
      </c>
    </row>
    <row r="12" spans="1:10" x14ac:dyDescent="0.35">
      <c r="A12" t="s">
        <v>84</v>
      </c>
      <c r="B12" t="s">
        <v>85</v>
      </c>
      <c r="C12" t="s">
        <v>86</v>
      </c>
      <c r="D12" t="s">
        <v>64</v>
      </c>
      <c r="H12" s="10">
        <v>1497</v>
      </c>
      <c r="J12" s="11">
        <v>1497</v>
      </c>
    </row>
    <row r="13" spans="1:10" x14ac:dyDescent="0.35">
      <c r="A13" t="s">
        <v>87</v>
      </c>
      <c r="B13" t="s">
        <v>88</v>
      </c>
      <c r="C13" t="s">
        <v>63</v>
      </c>
      <c r="D13" t="s">
        <v>78</v>
      </c>
      <c r="F13" s="10">
        <v>1043</v>
      </c>
      <c r="J13" s="11">
        <v>1043</v>
      </c>
    </row>
    <row r="14" spans="1:10" x14ac:dyDescent="0.35">
      <c r="A14" t="s">
        <v>89</v>
      </c>
      <c r="B14" t="s">
        <v>88</v>
      </c>
      <c r="C14" t="s">
        <v>63</v>
      </c>
      <c r="D14" t="s">
        <v>78</v>
      </c>
      <c r="E14">
        <v>44</v>
      </c>
      <c r="F14">
        <v>303</v>
      </c>
      <c r="I14" s="10">
        <v>1127</v>
      </c>
      <c r="J14" s="11">
        <v>1474</v>
      </c>
    </row>
    <row r="15" spans="1:10" x14ac:dyDescent="0.35">
      <c r="A15" t="s">
        <v>90</v>
      </c>
      <c r="B15" t="s">
        <v>91</v>
      </c>
      <c r="C15" t="s">
        <v>63</v>
      </c>
      <c r="D15" t="s">
        <v>64</v>
      </c>
      <c r="E15">
        <v>706</v>
      </c>
      <c r="G15">
        <v>656</v>
      </c>
      <c r="H15" s="10"/>
      <c r="J15" s="11">
        <v>1362</v>
      </c>
    </row>
    <row r="16" spans="1:10" x14ac:dyDescent="0.35">
      <c r="A16" t="s">
        <v>92</v>
      </c>
      <c r="B16" t="s">
        <v>93</v>
      </c>
      <c r="C16" t="s">
        <v>63</v>
      </c>
      <c r="D16" t="s">
        <v>64</v>
      </c>
      <c r="H16" s="10">
        <v>2889</v>
      </c>
      <c r="J16" s="11">
        <v>2889</v>
      </c>
    </row>
    <row r="17" spans="1:10" x14ac:dyDescent="0.35">
      <c r="A17" t="s">
        <v>94</v>
      </c>
      <c r="B17" t="s">
        <v>95</v>
      </c>
      <c r="C17" t="s">
        <v>63</v>
      </c>
      <c r="D17" t="s">
        <v>64</v>
      </c>
      <c r="E17" s="10">
        <v>14248</v>
      </c>
      <c r="H17" s="10">
        <v>78</v>
      </c>
      <c r="J17" s="11">
        <v>14326</v>
      </c>
    </row>
    <row r="18" spans="1:10" x14ac:dyDescent="0.35">
      <c r="A18" t="s">
        <v>96</v>
      </c>
      <c r="B18" t="s">
        <v>97</v>
      </c>
      <c r="C18" t="s">
        <v>63</v>
      </c>
      <c r="D18" t="s">
        <v>64</v>
      </c>
      <c r="H18">
        <v>929</v>
      </c>
      <c r="J18" s="11">
        <v>929</v>
      </c>
    </row>
    <row r="19" spans="1:10" x14ac:dyDescent="0.35">
      <c r="A19" t="s">
        <v>98</v>
      </c>
      <c r="B19" t="s">
        <v>99</v>
      </c>
      <c r="C19" t="s">
        <v>63</v>
      </c>
      <c r="D19" t="s">
        <v>64</v>
      </c>
      <c r="E19" s="10"/>
      <c r="H19" s="10">
        <v>1994</v>
      </c>
      <c r="J19" s="11">
        <v>1994</v>
      </c>
    </row>
    <row r="20" spans="1:10" x14ac:dyDescent="0.35">
      <c r="A20" t="s">
        <v>100</v>
      </c>
      <c r="B20" t="s">
        <v>77</v>
      </c>
      <c r="C20" t="s">
        <v>63</v>
      </c>
      <c r="D20" t="s">
        <v>64</v>
      </c>
      <c r="E20" s="10"/>
      <c r="G20" s="10"/>
      <c r="H20" s="10">
        <v>3575</v>
      </c>
      <c r="J20" s="11">
        <v>3575</v>
      </c>
    </row>
    <row r="21" spans="1:10" x14ac:dyDescent="0.35">
      <c r="A21" t="s">
        <v>101</v>
      </c>
      <c r="B21" t="s">
        <v>102</v>
      </c>
      <c r="C21" t="s">
        <v>63</v>
      </c>
      <c r="D21" t="s">
        <v>64</v>
      </c>
      <c r="H21">
        <v>594</v>
      </c>
      <c r="J21" s="11">
        <v>594</v>
      </c>
    </row>
    <row r="22" spans="1:10" x14ac:dyDescent="0.35">
      <c r="A22" t="s">
        <v>103</v>
      </c>
      <c r="B22" t="s">
        <v>104</v>
      </c>
      <c r="C22" t="s">
        <v>63</v>
      </c>
      <c r="D22" t="s">
        <v>64</v>
      </c>
      <c r="E22" s="10"/>
      <c r="H22" s="10">
        <v>2728</v>
      </c>
      <c r="J22" s="11">
        <v>2728</v>
      </c>
    </row>
    <row r="23" spans="1:10" x14ac:dyDescent="0.35">
      <c r="A23" t="s">
        <v>105</v>
      </c>
      <c r="B23" t="s">
        <v>106</v>
      </c>
      <c r="C23" t="s">
        <v>86</v>
      </c>
      <c r="D23" t="s">
        <v>64</v>
      </c>
      <c r="H23" s="10">
        <v>1004</v>
      </c>
      <c r="J23" s="11">
        <v>1004</v>
      </c>
    </row>
    <row r="24" spans="1:10" x14ac:dyDescent="0.35">
      <c r="A24" t="s">
        <v>107</v>
      </c>
      <c r="B24" t="s">
        <v>108</v>
      </c>
      <c r="C24" t="s">
        <v>63</v>
      </c>
      <c r="D24" t="s">
        <v>109</v>
      </c>
      <c r="E24">
        <v>72</v>
      </c>
      <c r="G24">
        <v>471</v>
      </c>
      <c r="J24" s="11">
        <v>543</v>
      </c>
    </row>
    <row r="25" spans="1:10" x14ac:dyDescent="0.35">
      <c r="A25" t="s">
        <v>110</v>
      </c>
      <c r="B25" t="s">
        <v>111</v>
      </c>
      <c r="C25" t="s">
        <v>63</v>
      </c>
      <c r="D25" t="s">
        <v>64</v>
      </c>
      <c r="H25" s="10">
        <v>6825</v>
      </c>
      <c r="J25" s="11">
        <v>6825</v>
      </c>
    </row>
    <row r="26" spans="1:10" x14ac:dyDescent="0.35">
      <c r="A26" t="s">
        <v>112</v>
      </c>
      <c r="B26" t="s">
        <v>113</v>
      </c>
      <c r="C26" t="s">
        <v>63</v>
      </c>
      <c r="D26" t="s">
        <v>109</v>
      </c>
      <c r="E26" s="10"/>
      <c r="H26" s="10">
        <v>2483</v>
      </c>
      <c r="J26" s="11">
        <v>2483</v>
      </c>
    </row>
    <row r="27" spans="1:10" x14ac:dyDescent="0.35">
      <c r="A27" t="s">
        <v>114</v>
      </c>
      <c r="B27" t="s">
        <v>115</v>
      </c>
      <c r="C27" t="s">
        <v>63</v>
      </c>
      <c r="D27" t="s">
        <v>64</v>
      </c>
      <c r="F27" s="10"/>
      <c r="H27" s="10">
        <v>1571</v>
      </c>
      <c r="J27" s="11">
        <v>1571</v>
      </c>
    </row>
    <row r="28" spans="1:10" x14ac:dyDescent="0.35">
      <c r="A28" t="s">
        <v>116</v>
      </c>
      <c r="B28" t="s">
        <v>68</v>
      </c>
      <c r="C28" t="s">
        <v>63</v>
      </c>
      <c r="D28" t="s">
        <v>64</v>
      </c>
      <c r="H28" s="10">
        <v>8470</v>
      </c>
      <c r="J28" s="11">
        <v>8470</v>
      </c>
    </row>
    <row r="29" spans="1:10" x14ac:dyDescent="0.35">
      <c r="A29" t="s">
        <v>117</v>
      </c>
      <c r="B29" t="s">
        <v>118</v>
      </c>
      <c r="C29" t="s">
        <v>63</v>
      </c>
      <c r="D29" t="s">
        <v>73</v>
      </c>
      <c r="E29" s="10"/>
      <c r="H29" s="10">
        <v>6486</v>
      </c>
      <c r="J29" s="11">
        <v>6486</v>
      </c>
    </row>
    <row r="30" spans="1:10" x14ac:dyDescent="0.35">
      <c r="A30" t="s">
        <v>119</v>
      </c>
      <c r="B30" t="s">
        <v>120</v>
      </c>
      <c r="C30" t="s">
        <v>63</v>
      </c>
      <c r="D30" t="s">
        <v>64</v>
      </c>
      <c r="H30" s="10">
        <v>1089</v>
      </c>
      <c r="J30" s="11">
        <v>1089</v>
      </c>
    </row>
    <row r="31" spans="1:10" x14ac:dyDescent="0.35">
      <c r="A31" t="s">
        <v>121</v>
      </c>
      <c r="B31" t="s">
        <v>122</v>
      </c>
      <c r="C31" t="s">
        <v>63</v>
      </c>
      <c r="D31" t="s">
        <v>64</v>
      </c>
      <c r="H31" s="10">
        <v>1276</v>
      </c>
      <c r="J31" s="11">
        <v>1276</v>
      </c>
    </row>
    <row r="32" spans="1:10" x14ac:dyDescent="0.35">
      <c r="A32" t="s">
        <v>123</v>
      </c>
      <c r="B32" t="s">
        <v>122</v>
      </c>
      <c r="C32" t="s">
        <v>63</v>
      </c>
      <c r="D32" t="s">
        <v>64</v>
      </c>
      <c r="E32" s="10"/>
      <c r="G32" s="10"/>
      <c r="H32" s="10">
        <v>50156</v>
      </c>
      <c r="J32" s="11">
        <v>50156</v>
      </c>
    </row>
    <row r="33" spans="1:10" x14ac:dyDescent="0.35">
      <c r="A33" t="s">
        <v>124</v>
      </c>
      <c r="B33" t="s">
        <v>122</v>
      </c>
      <c r="C33" t="s">
        <v>63</v>
      </c>
      <c r="D33" t="s">
        <v>64</v>
      </c>
      <c r="F33" s="10">
        <v>17930</v>
      </c>
      <c r="G33">
        <v>757</v>
      </c>
      <c r="H33" s="10">
        <v>4360</v>
      </c>
      <c r="I33" s="10">
        <v>2955</v>
      </c>
      <c r="J33" s="11">
        <v>26002</v>
      </c>
    </row>
    <row r="34" spans="1:10" x14ac:dyDescent="0.35">
      <c r="A34" t="s">
        <v>125</v>
      </c>
      <c r="B34" t="s">
        <v>122</v>
      </c>
      <c r="C34" t="s">
        <v>63</v>
      </c>
      <c r="D34" t="s">
        <v>64</v>
      </c>
      <c r="E34" s="10"/>
      <c r="G34" s="10"/>
      <c r="H34">
        <v>698</v>
      </c>
      <c r="J34" s="11">
        <v>698</v>
      </c>
    </row>
    <row r="35" spans="1:10" x14ac:dyDescent="0.35">
      <c r="A35" t="s">
        <v>126</v>
      </c>
      <c r="B35" t="s">
        <v>93</v>
      </c>
      <c r="C35" t="s">
        <v>86</v>
      </c>
      <c r="D35" t="s">
        <v>64</v>
      </c>
      <c r="H35" s="10">
        <v>2981</v>
      </c>
      <c r="J35" s="11">
        <v>2981</v>
      </c>
    </row>
    <row r="36" spans="1:10" x14ac:dyDescent="0.35">
      <c r="A36" t="s">
        <v>127</v>
      </c>
      <c r="B36" t="s">
        <v>93</v>
      </c>
      <c r="C36" t="s">
        <v>86</v>
      </c>
      <c r="D36" t="s">
        <v>64</v>
      </c>
      <c r="H36" s="10">
        <v>1919</v>
      </c>
      <c r="I36" s="10"/>
      <c r="J36" s="11">
        <v>1919</v>
      </c>
    </row>
    <row r="37" spans="1:10" x14ac:dyDescent="0.35">
      <c r="A37" t="s">
        <v>128</v>
      </c>
      <c r="B37" t="s">
        <v>129</v>
      </c>
      <c r="C37" t="s">
        <v>63</v>
      </c>
      <c r="D37" t="s">
        <v>64</v>
      </c>
      <c r="H37" s="10">
        <v>1842</v>
      </c>
      <c r="J37" s="11">
        <v>1842</v>
      </c>
    </row>
    <row r="38" spans="1:10" x14ac:dyDescent="0.35">
      <c r="A38" t="s">
        <v>130</v>
      </c>
      <c r="B38" t="s">
        <v>129</v>
      </c>
      <c r="C38" t="s">
        <v>63</v>
      </c>
      <c r="D38" t="s">
        <v>64</v>
      </c>
      <c r="H38" s="10">
        <v>16159</v>
      </c>
      <c r="J38" s="11">
        <v>16159</v>
      </c>
    </row>
    <row r="39" spans="1:10" x14ac:dyDescent="0.35">
      <c r="A39" t="s">
        <v>131</v>
      </c>
      <c r="B39" t="s">
        <v>129</v>
      </c>
      <c r="C39" t="s">
        <v>63</v>
      </c>
      <c r="D39" t="s">
        <v>64</v>
      </c>
      <c r="H39" s="10">
        <v>20666</v>
      </c>
      <c r="I39" s="10"/>
      <c r="J39" s="11">
        <v>20666</v>
      </c>
    </row>
    <row r="40" spans="1:10" x14ac:dyDescent="0.35">
      <c r="A40" t="s">
        <v>132</v>
      </c>
      <c r="B40" t="s">
        <v>133</v>
      </c>
      <c r="C40" t="s">
        <v>86</v>
      </c>
      <c r="D40" t="s">
        <v>64</v>
      </c>
      <c r="E40" s="10">
        <v>1785</v>
      </c>
      <c r="G40">
        <v>959</v>
      </c>
      <c r="H40">
        <v>23</v>
      </c>
      <c r="I40">
        <v>2</v>
      </c>
      <c r="J40" s="11">
        <v>2769</v>
      </c>
    </row>
    <row r="41" spans="1:10" x14ac:dyDescent="0.35">
      <c r="A41" t="s">
        <v>134</v>
      </c>
      <c r="B41" t="s">
        <v>135</v>
      </c>
      <c r="C41" t="s">
        <v>63</v>
      </c>
      <c r="D41" t="s">
        <v>64</v>
      </c>
      <c r="E41" s="10">
        <v>64931</v>
      </c>
      <c r="F41">
        <v>10</v>
      </c>
      <c r="G41" s="10">
        <v>11834</v>
      </c>
      <c r="H41">
        <v>172</v>
      </c>
      <c r="I41">
        <v>30</v>
      </c>
      <c r="J41" s="11">
        <v>76977</v>
      </c>
    </row>
    <row r="42" spans="1:10" x14ac:dyDescent="0.35">
      <c r="A42" t="s">
        <v>136</v>
      </c>
      <c r="B42" t="s">
        <v>137</v>
      </c>
      <c r="C42" t="s">
        <v>63</v>
      </c>
      <c r="D42" t="s">
        <v>64</v>
      </c>
      <c r="E42" s="10">
        <v>10097</v>
      </c>
      <c r="F42">
        <v>67</v>
      </c>
      <c r="G42">
        <v>1</v>
      </c>
      <c r="H42">
        <v>1</v>
      </c>
      <c r="I42" s="10">
        <v>1189</v>
      </c>
      <c r="J42" s="11">
        <v>11355</v>
      </c>
    </row>
    <row r="43" spans="1:10" x14ac:dyDescent="0.35">
      <c r="A43" t="s">
        <v>138</v>
      </c>
      <c r="B43" t="s">
        <v>137</v>
      </c>
      <c r="C43" t="s">
        <v>63</v>
      </c>
      <c r="D43" t="s">
        <v>64</v>
      </c>
      <c r="E43" s="10">
        <v>81076</v>
      </c>
      <c r="F43">
        <v>1</v>
      </c>
      <c r="G43" s="10">
        <v>5721</v>
      </c>
      <c r="H43">
        <v>151</v>
      </c>
      <c r="I43">
        <v>23</v>
      </c>
      <c r="J43" s="11">
        <v>86972</v>
      </c>
    </row>
    <row r="44" spans="1:10" x14ac:dyDescent="0.35">
      <c r="A44" t="s">
        <v>139</v>
      </c>
      <c r="B44" t="s">
        <v>68</v>
      </c>
      <c r="C44" t="s">
        <v>63</v>
      </c>
      <c r="D44" t="s">
        <v>64</v>
      </c>
      <c r="H44" s="10">
        <v>11307</v>
      </c>
      <c r="J44" s="11">
        <v>11307</v>
      </c>
    </row>
    <row r="45" spans="1:10" x14ac:dyDescent="0.35">
      <c r="A45" t="s">
        <v>140</v>
      </c>
      <c r="B45" t="s">
        <v>141</v>
      </c>
      <c r="C45" t="s">
        <v>86</v>
      </c>
      <c r="D45" t="s">
        <v>64</v>
      </c>
      <c r="H45" s="10">
        <v>47157</v>
      </c>
      <c r="J45" s="11">
        <v>47157</v>
      </c>
    </row>
    <row r="46" spans="1:10" x14ac:dyDescent="0.35">
      <c r="A46" t="s">
        <v>142</v>
      </c>
      <c r="B46" t="s">
        <v>143</v>
      </c>
      <c r="C46" t="s">
        <v>86</v>
      </c>
      <c r="D46" t="s">
        <v>64</v>
      </c>
      <c r="H46" s="10">
        <v>27518</v>
      </c>
      <c r="J46" s="11">
        <v>27518</v>
      </c>
    </row>
    <row r="47" spans="1:10" x14ac:dyDescent="0.35">
      <c r="A47" t="s">
        <v>144</v>
      </c>
      <c r="B47" t="s">
        <v>145</v>
      </c>
      <c r="C47" t="s">
        <v>63</v>
      </c>
      <c r="D47" t="s">
        <v>64</v>
      </c>
      <c r="G47">
        <v>44</v>
      </c>
      <c r="J47" s="11">
        <v>44</v>
      </c>
    </row>
    <row r="48" spans="1:10" x14ac:dyDescent="0.35">
      <c r="A48" t="s">
        <v>146</v>
      </c>
      <c r="B48" t="s">
        <v>147</v>
      </c>
      <c r="C48" t="s">
        <v>63</v>
      </c>
      <c r="D48" t="s">
        <v>109</v>
      </c>
      <c r="E48" s="10">
        <v>1049</v>
      </c>
      <c r="J48" s="11">
        <v>1049</v>
      </c>
    </row>
    <row r="49" spans="1:10" x14ac:dyDescent="0.35">
      <c r="A49" t="s">
        <v>148</v>
      </c>
      <c r="B49" t="s">
        <v>77</v>
      </c>
      <c r="C49" t="s">
        <v>63</v>
      </c>
      <c r="D49" t="s">
        <v>109</v>
      </c>
      <c r="H49">
        <v>732</v>
      </c>
      <c r="J49" s="11">
        <v>732</v>
      </c>
    </row>
    <row r="50" spans="1:10" x14ac:dyDescent="0.35">
      <c r="A50" t="s">
        <v>149</v>
      </c>
      <c r="B50" t="s">
        <v>150</v>
      </c>
      <c r="C50" t="s">
        <v>63</v>
      </c>
      <c r="D50" t="s">
        <v>64</v>
      </c>
      <c r="F50">
        <v>288</v>
      </c>
      <c r="H50">
        <v>184</v>
      </c>
      <c r="I50">
        <v>42</v>
      </c>
      <c r="J50" s="11">
        <v>514</v>
      </c>
    </row>
    <row r="51" spans="1:10" x14ac:dyDescent="0.35">
      <c r="A51" t="s">
        <v>151</v>
      </c>
      <c r="B51" t="s">
        <v>152</v>
      </c>
      <c r="C51" t="s">
        <v>63</v>
      </c>
      <c r="D51" t="s">
        <v>64</v>
      </c>
      <c r="E51" s="10">
        <v>30522</v>
      </c>
      <c r="H51">
        <v>27</v>
      </c>
      <c r="J51" s="11">
        <v>30549</v>
      </c>
    </row>
    <row r="52" spans="1:10" x14ac:dyDescent="0.35">
      <c r="A52" t="s">
        <v>153</v>
      </c>
      <c r="B52" t="s">
        <v>77</v>
      </c>
      <c r="C52" t="s">
        <v>86</v>
      </c>
      <c r="D52" t="s">
        <v>64</v>
      </c>
      <c r="H52">
        <v>891</v>
      </c>
      <c r="J52" s="11">
        <v>891</v>
      </c>
    </row>
    <row r="53" spans="1:10" x14ac:dyDescent="0.35">
      <c r="A53" t="s">
        <v>154</v>
      </c>
      <c r="B53" t="s">
        <v>155</v>
      </c>
      <c r="C53" t="s">
        <v>63</v>
      </c>
      <c r="D53" t="s">
        <v>64</v>
      </c>
      <c r="H53">
        <v>208</v>
      </c>
      <c r="J53" s="11">
        <v>208</v>
      </c>
    </row>
    <row r="54" spans="1:10" x14ac:dyDescent="0.35">
      <c r="A54" t="s">
        <v>156</v>
      </c>
      <c r="B54" t="s">
        <v>77</v>
      </c>
      <c r="D54" t="s">
        <v>64</v>
      </c>
      <c r="H54">
        <v>0</v>
      </c>
      <c r="J54" s="11">
        <v>0</v>
      </c>
    </row>
    <row r="55" spans="1:10" x14ac:dyDescent="0.35">
      <c r="A55" t="s">
        <v>157</v>
      </c>
      <c r="B55" t="s">
        <v>68</v>
      </c>
      <c r="C55" t="s">
        <v>63</v>
      </c>
      <c r="D55" t="s">
        <v>64</v>
      </c>
      <c r="H55" s="10">
        <v>2669</v>
      </c>
      <c r="J55" s="11">
        <v>2669</v>
      </c>
    </row>
    <row r="56" spans="1:10" x14ac:dyDescent="0.35">
      <c r="A56" t="s">
        <v>158</v>
      </c>
      <c r="B56" t="s">
        <v>159</v>
      </c>
      <c r="C56" t="s">
        <v>63</v>
      </c>
      <c r="D56" t="s">
        <v>78</v>
      </c>
      <c r="H56">
        <v>745</v>
      </c>
      <c r="J56" s="11">
        <v>745</v>
      </c>
    </row>
    <row r="57" spans="1:10" x14ac:dyDescent="0.35">
      <c r="A57" t="s">
        <v>160</v>
      </c>
      <c r="B57" t="s">
        <v>77</v>
      </c>
      <c r="C57" t="s">
        <v>63</v>
      </c>
      <c r="D57" t="s">
        <v>64</v>
      </c>
      <c r="H57">
        <v>907</v>
      </c>
      <c r="J57" s="11">
        <v>907</v>
      </c>
    </row>
    <row r="58" spans="1:10" x14ac:dyDescent="0.35">
      <c r="A58" t="s">
        <v>161</v>
      </c>
      <c r="B58" t="s">
        <v>162</v>
      </c>
      <c r="C58" t="s">
        <v>63</v>
      </c>
      <c r="D58" t="s">
        <v>64</v>
      </c>
      <c r="E58">
        <v>717</v>
      </c>
      <c r="G58" s="10">
        <v>1191</v>
      </c>
      <c r="J58" s="11">
        <v>1908</v>
      </c>
    </row>
    <row r="59" spans="1:10" x14ac:dyDescent="0.35">
      <c r="A59" t="s">
        <v>163</v>
      </c>
      <c r="B59" t="s">
        <v>164</v>
      </c>
      <c r="C59" t="s">
        <v>63</v>
      </c>
      <c r="D59" t="s">
        <v>64</v>
      </c>
      <c r="H59" s="10">
        <v>4458</v>
      </c>
      <c r="J59" s="11">
        <v>4458</v>
      </c>
    </row>
    <row r="60" spans="1:10" x14ac:dyDescent="0.35">
      <c r="A60" t="s">
        <v>165</v>
      </c>
      <c r="B60" t="s">
        <v>166</v>
      </c>
      <c r="C60" t="s">
        <v>63</v>
      </c>
      <c r="D60" t="s">
        <v>64</v>
      </c>
      <c r="E60" s="10">
        <v>3523</v>
      </c>
      <c r="J60" s="11">
        <v>3523</v>
      </c>
    </row>
    <row r="61" spans="1:10" x14ac:dyDescent="0.35">
      <c r="A61" t="s">
        <v>167</v>
      </c>
      <c r="B61" t="s">
        <v>168</v>
      </c>
      <c r="C61" t="s">
        <v>63</v>
      </c>
      <c r="D61" t="s">
        <v>73</v>
      </c>
      <c r="E61">
        <v>381</v>
      </c>
      <c r="H61">
        <v>5</v>
      </c>
      <c r="J61" s="11">
        <v>386</v>
      </c>
    </row>
    <row r="62" spans="1:10" x14ac:dyDescent="0.35">
      <c r="A62" t="s">
        <v>169</v>
      </c>
      <c r="B62" t="s">
        <v>170</v>
      </c>
      <c r="C62" t="s">
        <v>86</v>
      </c>
      <c r="D62" t="s">
        <v>78</v>
      </c>
      <c r="E62" s="10">
        <v>32307</v>
      </c>
      <c r="F62">
        <v>0</v>
      </c>
      <c r="G62" s="10">
        <v>2186</v>
      </c>
      <c r="H62">
        <v>20</v>
      </c>
      <c r="I62">
        <v>2</v>
      </c>
      <c r="J62" s="11">
        <v>34515</v>
      </c>
    </row>
    <row r="63" spans="1:10" x14ac:dyDescent="0.35">
      <c r="A63" t="s">
        <v>171</v>
      </c>
      <c r="B63" t="s">
        <v>172</v>
      </c>
      <c r="C63" t="s">
        <v>63</v>
      </c>
      <c r="D63" t="s">
        <v>64</v>
      </c>
      <c r="E63">
        <v>0</v>
      </c>
      <c r="F63">
        <v>72</v>
      </c>
      <c r="G63">
        <v>0</v>
      </c>
      <c r="H63">
        <v>0</v>
      </c>
      <c r="I63">
        <v>693</v>
      </c>
      <c r="J63" s="11">
        <v>765</v>
      </c>
    </row>
    <row r="64" spans="1:10" x14ac:dyDescent="0.35">
      <c r="A64" t="s">
        <v>173</v>
      </c>
      <c r="B64" t="s">
        <v>174</v>
      </c>
      <c r="C64" t="s">
        <v>63</v>
      </c>
      <c r="D64" t="s">
        <v>64</v>
      </c>
      <c r="H64">
        <v>594</v>
      </c>
      <c r="J64" s="11">
        <v>594</v>
      </c>
    </row>
    <row r="65" spans="1:10" x14ac:dyDescent="0.35">
      <c r="A65" t="s">
        <v>175</v>
      </c>
      <c r="B65" t="s">
        <v>176</v>
      </c>
      <c r="C65" t="s">
        <v>63</v>
      </c>
      <c r="D65" t="s">
        <v>64</v>
      </c>
      <c r="G65">
        <v>485</v>
      </c>
      <c r="H65">
        <v>130</v>
      </c>
      <c r="J65" s="11">
        <v>615</v>
      </c>
    </row>
    <row r="66" spans="1:10" x14ac:dyDescent="0.35">
      <c r="A66" t="s">
        <v>177</v>
      </c>
      <c r="B66" t="s">
        <v>178</v>
      </c>
      <c r="C66" t="s">
        <v>63</v>
      </c>
      <c r="D66" t="s">
        <v>64</v>
      </c>
      <c r="F66">
        <v>399</v>
      </c>
      <c r="H66">
        <v>243</v>
      </c>
      <c r="I66">
        <v>60</v>
      </c>
      <c r="J66" s="11">
        <v>702</v>
      </c>
    </row>
    <row r="67" spans="1:10" x14ac:dyDescent="0.35">
      <c r="A67" t="s">
        <v>179</v>
      </c>
      <c r="B67" t="s">
        <v>180</v>
      </c>
      <c r="C67" t="s">
        <v>63</v>
      </c>
      <c r="D67" t="s">
        <v>64</v>
      </c>
      <c r="E67" s="10">
        <v>1612</v>
      </c>
      <c r="F67">
        <v>20</v>
      </c>
      <c r="G67">
        <v>103</v>
      </c>
      <c r="H67">
        <v>13</v>
      </c>
      <c r="I67">
        <v>101</v>
      </c>
      <c r="J67" s="11">
        <v>1849</v>
      </c>
    </row>
    <row r="68" spans="1:10" x14ac:dyDescent="0.35">
      <c r="A68" t="s">
        <v>181</v>
      </c>
      <c r="B68" t="s">
        <v>182</v>
      </c>
      <c r="C68" t="s">
        <v>86</v>
      </c>
      <c r="D68" t="s">
        <v>64</v>
      </c>
      <c r="H68" s="10">
        <v>2545</v>
      </c>
      <c r="J68" s="11">
        <v>2545</v>
      </c>
    </row>
    <row r="69" spans="1:10" x14ac:dyDescent="0.35">
      <c r="A69" t="s">
        <v>183</v>
      </c>
      <c r="B69" t="s">
        <v>184</v>
      </c>
      <c r="C69" t="s">
        <v>86</v>
      </c>
      <c r="D69" t="s">
        <v>64</v>
      </c>
      <c r="E69" s="10">
        <v>3485</v>
      </c>
      <c r="G69">
        <v>764</v>
      </c>
      <c r="H69">
        <v>1</v>
      </c>
      <c r="I69">
        <v>1</v>
      </c>
      <c r="J69" s="11">
        <v>4251</v>
      </c>
    </row>
    <row r="70" spans="1:10" x14ac:dyDescent="0.35">
      <c r="A70" t="s">
        <v>185</v>
      </c>
      <c r="B70" t="s">
        <v>186</v>
      </c>
      <c r="C70" t="s">
        <v>63</v>
      </c>
      <c r="D70" t="s">
        <v>64</v>
      </c>
      <c r="E70" s="10">
        <v>3740</v>
      </c>
      <c r="J70" s="11">
        <v>3740</v>
      </c>
    </row>
    <row r="71" spans="1:10" x14ac:dyDescent="0.35">
      <c r="A71" t="s">
        <v>187</v>
      </c>
      <c r="B71" t="s">
        <v>188</v>
      </c>
      <c r="C71" t="s">
        <v>63</v>
      </c>
      <c r="D71" t="s">
        <v>64</v>
      </c>
      <c r="E71">
        <v>568</v>
      </c>
      <c r="G71">
        <v>6</v>
      </c>
      <c r="J71" s="11">
        <v>574</v>
      </c>
    </row>
    <row r="72" spans="1:10" x14ac:dyDescent="0.35">
      <c r="A72" t="s">
        <v>189</v>
      </c>
      <c r="B72" t="s">
        <v>190</v>
      </c>
      <c r="C72" t="s">
        <v>63</v>
      </c>
      <c r="D72" t="s">
        <v>78</v>
      </c>
      <c r="H72" s="10">
        <v>55887</v>
      </c>
      <c r="J72" s="11">
        <v>55887</v>
      </c>
    </row>
    <row r="73" spans="1:10" x14ac:dyDescent="0.35">
      <c r="A73" t="s">
        <v>191</v>
      </c>
      <c r="B73" t="s">
        <v>135</v>
      </c>
      <c r="C73" t="s">
        <v>63</v>
      </c>
      <c r="D73" t="s">
        <v>64</v>
      </c>
      <c r="E73">
        <v>0</v>
      </c>
      <c r="F73">
        <v>776</v>
      </c>
      <c r="G73">
        <v>0</v>
      </c>
      <c r="H73">
        <v>0</v>
      </c>
      <c r="I73">
        <v>0</v>
      </c>
      <c r="J73" s="11">
        <v>776</v>
      </c>
    </row>
    <row r="74" spans="1:10" x14ac:dyDescent="0.35">
      <c r="A74" t="s">
        <v>192</v>
      </c>
      <c r="B74" t="s">
        <v>193</v>
      </c>
      <c r="C74" t="s">
        <v>63</v>
      </c>
      <c r="D74" t="s">
        <v>78</v>
      </c>
      <c r="G74">
        <v>781</v>
      </c>
      <c r="J74" s="11">
        <v>781</v>
      </c>
    </row>
    <row r="75" spans="1:10" x14ac:dyDescent="0.35">
      <c r="A75" t="s">
        <v>194</v>
      </c>
      <c r="B75" t="s">
        <v>135</v>
      </c>
      <c r="C75" t="s">
        <v>63</v>
      </c>
      <c r="D75" t="s">
        <v>64</v>
      </c>
      <c r="E75">
        <v>0</v>
      </c>
      <c r="F75">
        <v>429</v>
      </c>
      <c r="G75">
        <v>0</v>
      </c>
      <c r="H75">
        <v>0</v>
      </c>
      <c r="I75">
        <v>331</v>
      </c>
      <c r="J75" s="11">
        <v>760</v>
      </c>
    </row>
    <row r="76" spans="1:10" x14ac:dyDescent="0.35">
      <c r="A76" t="s">
        <v>195</v>
      </c>
      <c r="B76" t="s">
        <v>135</v>
      </c>
      <c r="C76" t="s">
        <v>63</v>
      </c>
      <c r="D76" t="s">
        <v>64</v>
      </c>
      <c r="E76">
        <v>0</v>
      </c>
      <c r="F76">
        <v>432</v>
      </c>
      <c r="G76">
        <v>0</v>
      </c>
      <c r="H76">
        <v>0</v>
      </c>
      <c r="I76">
        <v>0</v>
      </c>
      <c r="J76" s="11">
        <v>432</v>
      </c>
    </row>
    <row r="77" spans="1:10" x14ac:dyDescent="0.35">
      <c r="A77" t="s">
        <v>196</v>
      </c>
      <c r="B77" t="s">
        <v>197</v>
      </c>
      <c r="C77" t="s">
        <v>63</v>
      </c>
      <c r="D77" t="s">
        <v>64</v>
      </c>
      <c r="F77">
        <v>11</v>
      </c>
      <c r="I77" s="10">
        <v>2814</v>
      </c>
      <c r="J77" s="11">
        <v>2825</v>
      </c>
    </row>
    <row r="78" spans="1:10" x14ac:dyDescent="0.35">
      <c r="A78" t="s">
        <v>198</v>
      </c>
      <c r="B78" t="s">
        <v>199</v>
      </c>
      <c r="C78" t="s">
        <v>63</v>
      </c>
      <c r="D78" t="s">
        <v>64</v>
      </c>
      <c r="H78" s="10">
        <v>4190</v>
      </c>
      <c r="J78" s="11">
        <v>4190</v>
      </c>
    </row>
    <row r="79" spans="1:10" x14ac:dyDescent="0.35">
      <c r="A79" t="s">
        <v>200</v>
      </c>
      <c r="B79" t="s">
        <v>201</v>
      </c>
      <c r="C79" t="s">
        <v>63</v>
      </c>
      <c r="D79" t="s">
        <v>64</v>
      </c>
      <c r="H79" s="10">
        <v>11394</v>
      </c>
      <c r="J79" s="11">
        <v>11394</v>
      </c>
    </row>
    <row r="80" spans="1:10" x14ac:dyDescent="0.35">
      <c r="A80" t="s">
        <v>202</v>
      </c>
      <c r="B80" t="s">
        <v>203</v>
      </c>
      <c r="C80" t="s">
        <v>63</v>
      </c>
      <c r="D80" t="s">
        <v>64</v>
      </c>
      <c r="I80">
        <v>514</v>
      </c>
      <c r="J80" s="11">
        <v>514</v>
      </c>
    </row>
    <row r="81" spans="1:10" x14ac:dyDescent="0.35">
      <c r="A81" t="s">
        <v>204</v>
      </c>
      <c r="B81" t="s">
        <v>75</v>
      </c>
      <c r="C81" t="s">
        <v>86</v>
      </c>
      <c r="D81" t="s">
        <v>64</v>
      </c>
      <c r="H81" s="10">
        <v>60383</v>
      </c>
      <c r="J81" s="11">
        <v>60383</v>
      </c>
    </row>
    <row r="82" spans="1:10" x14ac:dyDescent="0.35">
      <c r="A82" t="s">
        <v>205</v>
      </c>
      <c r="B82" t="s">
        <v>77</v>
      </c>
      <c r="C82" t="s">
        <v>63</v>
      </c>
      <c r="D82" t="s">
        <v>109</v>
      </c>
      <c r="H82">
        <v>662</v>
      </c>
      <c r="J82" s="11">
        <v>662</v>
      </c>
    </row>
    <row r="83" spans="1:10" x14ac:dyDescent="0.35">
      <c r="A83" t="s">
        <v>206</v>
      </c>
      <c r="B83" t="s">
        <v>77</v>
      </c>
      <c r="C83" t="s">
        <v>63</v>
      </c>
      <c r="D83" t="s">
        <v>64</v>
      </c>
      <c r="H83">
        <v>579</v>
      </c>
      <c r="J83" s="11">
        <v>579</v>
      </c>
    </row>
    <row r="84" spans="1:10" x14ac:dyDescent="0.35">
      <c r="A84" t="s">
        <v>207</v>
      </c>
      <c r="B84" t="s">
        <v>77</v>
      </c>
      <c r="C84" t="s">
        <v>63</v>
      </c>
      <c r="D84" t="s">
        <v>64</v>
      </c>
      <c r="H84" s="10">
        <v>1050</v>
      </c>
      <c r="J84" s="11">
        <v>1050</v>
      </c>
    </row>
    <row r="85" spans="1:10" x14ac:dyDescent="0.35">
      <c r="A85" t="s">
        <v>208</v>
      </c>
      <c r="B85" t="s">
        <v>209</v>
      </c>
      <c r="C85" t="s">
        <v>63</v>
      </c>
      <c r="D85" t="s">
        <v>78</v>
      </c>
      <c r="G85">
        <v>0</v>
      </c>
      <c r="H85">
        <v>1</v>
      </c>
      <c r="J85" s="11">
        <v>1</v>
      </c>
    </row>
    <row r="86" spans="1:10" x14ac:dyDescent="0.35">
      <c r="A86" t="s">
        <v>210</v>
      </c>
      <c r="B86" t="s">
        <v>77</v>
      </c>
      <c r="C86" t="s">
        <v>63</v>
      </c>
      <c r="D86" t="s">
        <v>64</v>
      </c>
      <c r="H86" s="10">
        <v>1104</v>
      </c>
      <c r="J86" s="11">
        <v>1104</v>
      </c>
    </row>
    <row r="87" spans="1:10" x14ac:dyDescent="0.35">
      <c r="A87" t="s">
        <v>211</v>
      </c>
      <c r="B87" t="s">
        <v>212</v>
      </c>
      <c r="C87" t="s">
        <v>63</v>
      </c>
      <c r="D87" t="s">
        <v>64</v>
      </c>
      <c r="E87">
        <v>429</v>
      </c>
      <c r="I87">
        <v>509</v>
      </c>
      <c r="J87" s="11">
        <v>938</v>
      </c>
    </row>
    <row r="88" spans="1:10" x14ac:dyDescent="0.35">
      <c r="A88" t="s">
        <v>213</v>
      </c>
      <c r="B88" t="s">
        <v>214</v>
      </c>
      <c r="C88" t="s">
        <v>63</v>
      </c>
      <c r="D88" t="s">
        <v>64</v>
      </c>
      <c r="E88">
        <v>169</v>
      </c>
      <c r="F88">
        <v>0</v>
      </c>
      <c r="G88">
        <v>0</v>
      </c>
      <c r="H88">
        <v>0</v>
      </c>
      <c r="I88">
        <v>0</v>
      </c>
      <c r="J88" s="11">
        <v>169</v>
      </c>
    </row>
    <row r="89" spans="1:10" x14ac:dyDescent="0.35">
      <c r="A89" t="s">
        <v>215</v>
      </c>
      <c r="B89" t="s">
        <v>216</v>
      </c>
      <c r="C89" t="s">
        <v>63</v>
      </c>
      <c r="D89" t="s">
        <v>64</v>
      </c>
      <c r="F89">
        <v>492</v>
      </c>
      <c r="J89" s="11">
        <v>492</v>
      </c>
    </row>
    <row r="90" spans="1:10" x14ac:dyDescent="0.35">
      <c r="A90" t="s">
        <v>217</v>
      </c>
      <c r="B90" t="s">
        <v>216</v>
      </c>
      <c r="C90" t="s">
        <v>63</v>
      </c>
      <c r="D90" t="s">
        <v>64</v>
      </c>
      <c r="F90">
        <v>566</v>
      </c>
      <c r="I90" s="10">
        <v>1032</v>
      </c>
      <c r="J90" s="11">
        <v>1598</v>
      </c>
    </row>
    <row r="91" spans="1:10" x14ac:dyDescent="0.35">
      <c r="A91" t="s">
        <v>218</v>
      </c>
      <c r="B91" t="s">
        <v>219</v>
      </c>
      <c r="C91" t="s">
        <v>63</v>
      </c>
      <c r="D91" t="s">
        <v>64</v>
      </c>
      <c r="H91" s="10">
        <v>8965</v>
      </c>
      <c r="J91" s="11">
        <v>8965</v>
      </c>
    </row>
    <row r="92" spans="1:10" x14ac:dyDescent="0.35">
      <c r="A92" t="s">
        <v>220</v>
      </c>
      <c r="B92" t="s">
        <v>91</v>
      </c>
      <c r="C92" t="s">
        <v>63</v>
      </c>
      <c r="D92" t="s">
        <v>64</v>
      </c>
      <c r="H92">
        <v>18</v>
      </c>
      <c r="J92" s="11">
        <v>18</v>
      </c>
    </row>
    <row r="93" spans="1:10" x14ac:dyDescent="0.35">
      <c r="A93" t="s">
        <v>221</v>
      </c>
      <c r="B93" t="s">
        <v>222</v>
      </c>
      <c r="C93" t="s">
        <v>63</v>
      </c>
      <c r="D93" t="s">
        <v>64</v>
      </c>
      <c r="F93">
        <v>21</v>
      </c>
      <c r="H93">
        <v>36</v>
      </c>
      <c r="I93">
        <v>506</v>
      </c>
      <c r="J93" s="11">
        <v>563</v>
      </c>
    </row>
    <row r="94" spans="1:10" x14ac:dyDescent="0.35">
      <c r="A94" t="s">
        <v>223</v>
      </c>
      <c r="B94" t="s">
        <v>224</v>
      </c>
      <c r="C94" t="s">
        <v>63</v>
      </c>
      <c r="D94" t="s">
        <v>64</v>
      </c>
      <c r="H94" s="10">
        <v>3119</v>
      </c>
      <c r="J94" s="11">
        <v>3119</v>
      </c>
    </row>
    <row r="95" spans="1:10" x14ac:dyDescent="0.35">
      <c r="A95" t="s">
        <v>225</v>
      </c>
      <c r="B95" t="s">
        <v>77</v>
      </c>
      <c r="C95" t="s">
        <v>63</v>
      </c>
      <c r="D95" t="s">
        <v>64</v>
      </c>
      <c r="I95">
        <v>13</v>
      </c>
      <c r="J95" s="11">
        <v>13</v>
      </c>
    </row>
    <row r="96" spans="1:10" x14ac:dyDescent="0.35">
      <c r="A96" t="s">
        <v>226</v>
      </c>
      <c r="B96" t="s">
        <v>135</v>
      </c>
      <c r="C96" t="s">
        <v>63</v>
      </c>
      <c r="D96" t="s">
        <v>64</v>
      </c>
      <c r="E96">
        <v>0</v>
      </c>
      <c r="F96">
        <v>46</v>
      </c>
      <c r="G96">
        <v>0</v>
      </c>
      <c r="H96">
        <v>0</v>
      </c>
      <c r="I96">
        <v>561</v>
      </c>
      <c r="J96" s="11">
        <v>607</v>
      </c>
    </row>
    <row r="97" spans="1:10" x14ac:dyDescent="0.35">
      <c r="A97" t="s">
        <v>227</v>
      </c>
      <c r="B97" t="s">
        <v>228</v>
      </c>
      <c r="C97" t="s">
        <v>63</v>
      </c>
      <c r="D97" t="s">
        <v>64</v>
      </c>
      <c r="F97" s="10">
        <v>2010</v>
      </c>
      <c r="I97" s="10">
        <v>4789</v>
      </c>
      <c r="J97" s="11">
        <v>6799</v>
      </c>
    </row>
    <row r="98" spans="1:10" x14ac:dyDescent="0.35">
      <c r="A98" t="s">
        <v>229</v>
      </c>
      <c r="B98" t="s">
        <v>230</v>
      </c>
      <c r="C98" t="s">
        <v>86</v>
      </c>
      <c r="D98" t="s">
        <v>64</v>
      </c>
      <c r="H98" s="10">
        <v>19003</v>
      </c>
      <c r="J98" s="11">
        <v>19003</v>
      </c>
    </row>
    <row r="99" spans="1:10" x14ac:dyDescent="0.35">
      <c r="A99" t="s">
        <v>231</v>
      </c>
      <c r="B99" t="s">
        <v>135</v>
      </c>
      <c r="C99" t="s">
        <v>63</v>
      </c>
      <c r="D99" t="s">
        <v>64</v>
      </c>
      <c r="E99">
        <v>0</v>
      </c>
      <c r="F99">
        <v>0</v>
      </c>
      <c r="G99">
        <v>0</v>
      </c>
      <c r="H99">
        <v>0</v>
      </c>
      <c r="I99">
        <v>659</v>
      </c>
      <c r="J99" s="11">
        <v>659</v>
      </c>
    </row>
    <row r="100" spans="1:10" x14ac:dyDescent="0.35">
      <c r="A100" t="s">
        <v>232</v>
      </c>
      <c r="B100" t="s">
        <v>233</v>
      </c>
      <c r="C100" t="s">
        <v>63</v>
      </c>
      <c r="D100" t="s">
        <v>64</v>
      </c>
      <c r="H100">
        <v>967</v>
      </c>
      <c r="J100" s="11">
        <v>967</v>
      </c>
    </row>
    <row r="101" spans="1:10" x14ac:dyDescent="0.35">
      <c r="A101" t="s">
        <v>234</v>
      </c>
      <c r="B101" t="s">
        <v>93</v>
      </c>
      <c r="C101" t="s">
        <v>63</v>
      </c>
      <c r="D101" t="s">
        <v>64</v>
      </c>
      <c r="H101">
        <v>613</v>
      </c>
      <c r="J101" s="11">
        <v>613</v>
      </c>
    </row>
    <row r="102" spans="1:10" x14ac:dyDescent="0.35">
      <c r="A102" t="s">
        <v>235</v>
      </c>
      <c r="B102" t="s">
        <v>236</v>
      </c>
      <c r="C102" t="s">
        <v>63</v>
      </c>
      <c r="D102" t="s">
        <v>237</v>
      </c>
      <c r="E102" s="10">
        <v>3888</v>
      </c>
      <c r="J102" s="11">
        <v>3888</v>
      </c>
    </row>
    <row r="103" spans="1:10" x14ac:dyDescent="0.35">
      <c r="A103" t="s">
        <v>238</v>
      </c>
      <c r="B103" t="s">
        <v>77</v>
      </c>
      <c r="C103" t="s">
        <v>63</v>
      </c>
      <c r="D103" t="s">
        <v>64</v>
      </c>
      <c r="H103" s="10">
        <v>2317</v>
      </c>
      <c r="J103" s="11">
        <v>2317</v>
      </c>
    </row>
    <row r="104" spans="1:10" x14ac:dyDescent="0.35">
      <c r="A104" t="s">
        <v>239</v>
      </c>
      <c r="B104" t="s">
        <v>240</v>
      </c>
      <c r="C104" t="s">
        <v>63</v>
      </c>
      <c r="D104" t="s">
        <v>64</v>
      </c>
      <c r="H104">
        <v>814</v>
      </c>
      <c r="J104" s="11">
        <v>814</v>
      </c>
    </row>
    <row r="105" spans="1:10" x14ac:dyDescent="0.35">
      <c r="A105" t="s">
        <v>241</v>
      </c>
      <c r="B105" t="s">
        <v>242</v>
      </c>
      <c r="C105" t="s">
        <v>63</v>
      </c>
      <c r="D105" t="s">
        <v>64</v>
      </c>
      <c r="H105" s="10">
        <v>3281</v>
      </c>
      <c r="J105" s="11">
        <v>3281</v>
      </c>
    </row>
    <row r="106" spans="1:10" x14ac:dyDescent="0.35">
      <c r="A106" t="s">
        <v>243</v>
      </c>
      <c r="B106" t="s">
        <v>244</v>
      </c>
      <c r="C106" t="s">
        <v>63</v>
      </c>
      <c r="D106" t="s">
        <v>64</v>
      </c>
      <c r="E106" s="10">
        <v>75510</v>
      </c>
      <c r="F106">
        <v>65</v>
      </c>
      <c r="G106" s="10">
        <v>5227</v>
      </c>
      <c r="H106">
        <v>450</v>
      </c>
      <c r="I106">
        <v>951</v>
      </c>
      <c r="J106" s="11">
        <v>82203</v>
      </c>
    </row>
    <row r="107" spans="1:10" x14ac:dyDescent="0.35">
      <c r="A107" t="s">
        <v>245</v>
      </c>
      <c r="B107" t="s">
        <v>68</v>
      </c>
      <c r="C107" t="s">
        <v>63</v>
      </c>
      <c r="D107" t="s">
        <v>64</v>
      </c>
      <c r="H107">
        <v>946</v>
      </c>
      <c r="J107" s="11">
        <v>946</v>
      </c>
    </row>
    <row r="108" spans="1:10" x14ac:dyDescent="0.35">
      <c r="A108" t="s">
        <v>246</v>
      </c>
      <c r="B108" t="s">
        <v>247</v>
      </c>
      <c r="C108" t="s">
        <v>63</v>
      </c>
      <c r="D108" t="s">
        <v>64</v>
      </c>
      <c r="E108">
        <v>926</v>
      </c>
      <c r="J108" s="11">
        <v>926</v>
      </c>
    </row>
    <row r="109" spans="1:10" x14ac:dyDescent="0.35">
      <c r="A109" t="s">
        <v>248</v>
      </c>
      <c r="B109" t="s">
        <v>68</v>
      </c>
      <c r="C109" t="s">
        <v>63</v>
      </c>
      <c r="D109" t="s">
        <v>64</v>
      </c>
      <c r="H109" s="10">
        <v>1292</v>
      </c>
      <c r="J109" s="11">
        <v>1292</v>
      </c>
    </row>
    <row r="110" spans="1:10" x14ac:dyDescent="0.35">
      <c r="A110" t="s">
        <v>249</v>
      </c>
      <c r="B110" t="s">
        <v>250</v>
      </c>
      <c r="C110" t="s">
        <v>63</v>
      </c>
      <c r="D110" t="s">
        <v>64</v>
      </c>
      <c r="H110" s="10">
        <v>6049</v>
      </c>
      <c r="J110" s="11">
        <v>6049</v>
      </c>
    </row>
    <row r="111" spans="1:10" x14ac:dyDescent="0.35">
      <c r="A111" t="s">
        <v>251</v>
      </c>
      <c r="B111" t="s">
        <v>129</v>
      </c>
      <c r="C111" t="s">
        <v>63</v>
      </c>
      <c r="D111" t="s">
        <v>64</v>
      </c>
      <c r="H111" s="10">
        <v>7377</v>
      </c>
      <c r="J111" s="11">
        <v>7377</v>
      </c>
    </row>
    <row r="112" spans="1:10" x14ac:dyDescent="0.35">
      <c r="A112" t="s">
        <v>252</v>
      </c>
      <c r="B112" t="s">
        <v>77</v>
      </c>
      <c r="C112" t="s">
        <v>63</v>
      </c>
      <c r="D112" t="s">
        <v>64</v>
      </c>
      <c r="I112" s="10">
        <v>1159</v>
      </c>
      <c r="J112" s="11">
        <v>1159</v>
      </c>
    </row>
    <row r="113" spans="1:10" x14ac:dyDescent="0.35">
      <c r="A113" t="s">
        <v>253</v>
      </c>
      <c r="B113" t="s">
        <v>254</v>
      </c>
      <c r="C113" t="s">
        <v>63</v>
      </c>
      <c r="D113" t="s">
        <v>64</v>
      </c>
      <c r="F113">
        <v>229</v>
      </c>
      <c r="I113" s="10">
        <v>2334</v>
      </c>
      <c r="J113" s="11">
        <v>2563</v>
      </c>
    </row>
    <row r="114" spans="1:10" x14ac:dyDescent="0.35">
      <c r="A114" t="s">
        <v>255</v>
      </c>
      <c r="B114" t="s">
        <v>256</v>
      </c>
      <c r="C114" t="s">
        <v>63</v>
      </c>
      <c r="D114" t="s">
        <v>64</v>
      </c>
      <c r="E114" s="10">
        <v>8472</v>
      </c>
      <c r="J114" s="11">
        <v>8472</v>
      </c>
    </row>
    <row r="115" spans="1:10" x14ac:dyDescent="0.35">
      <c r="A115" t="s">
        <v>257</v>
      </c>
      <c r="B115" t="s">
        <v>256</v>
      </c>
      <c r="C115" t="s">
        <v>63</v>
      </c>
      <c r="D115" t="s">
        <v>64</v>
      </c>
      <c r="F115">
        <v>278</v>
      </c>
      <c r="I115">
        <v>848</v>
      </c>
      <c r="J115" s="11">
        <v>1126</v>
      </c>
    </row>
    <row r="116" spans="1:10" x14ac:dyDescent="0.35">
      <c r="A116" t="s">
        <v>258</v>
      </c>
      <c r="B116" t="s">
        <v>259</v>
      </c>
      <c r="C116" t="s">
        <v>63</v>
      </c>
      <c r="D116" t="s">
        <v>64</v>
      </c>
      <c r="F116">
        <v>732</v>
      </c>
      <c r="J116" s="11">
        <v>732</v>
      </c>
    </row>
    <row r="117" spans="1:10" x14ac:dyDescent="0.35">
      <c r="A117" t="s">
        <v>260</v>
      </c>
      <c r="B117" t="s">
        <v>77</v>
      </c>
      <c r="C117" t="s">
        <v>63</v>
      </c>
      <c r="D117" t="s">
        <v>64</v>
      </c>
      <c r="G117" s="10">
        <v>1047</v>
      </c>
      <c r="J117" s="11">
        <v>1047</v>
      </c>
    </row>
    <row r="118" spans="1:10" x14ac:dyDescent="0.35">
      <c r="A118" t="s">
        <v>261</v>
      </c>
      <c r="B118" t="s">
        <v>77</v>
      </c>
      <c r="C118" t="s">
        <v>63</v>
      </c>
      <c r="D118" t="s">
        <v>64</v>
      </c>
      <c r="E118">
        <v>820</v>
      </c>
      <c r="J118" s="11">
        <v>820</v>
      </c>
    </row>
    <row r="119" spans="1:10" x14ac:dyDescent="0.35">
      <c r="A119" t="s">
        <v>262</v>
      </c>
      <c r="B119" t="s">
        <v>263</v>
      </c>
      <c r="C119" t="s">
        <v>63</v>
      </c>
      <c r="D119" t="s">
        <v>64</v>
      </c>
      <c r="H119">
        <v>21</v>
      </c>
      <c r="J119" s="11">
        <v>21</v>
      </c>
    </row>
    <row r="120" spans="1:10" x14ac:dyDescent="0.35">
      <c r="A120" t="s">
        <v>264</v>
      </c>
      <c r="B120" t="s">
        <v>265</v>
      </c>
      <c r="C120" t="s">
        <v>63</v>
      </c>
      <c r="D120" t="s">
        <v>64</v>
      </c>
      <c r="E120" s="10">
        <v>1778</v>
      </c>
      <c r="G120">
        <v>930</v>
      </c>
      <c r="J120" s="11">
        <v>2708</v>
      </c>
    </row>
    <row r="121" spans="1:10" x14ac:dyDescent="0.35">
      <c r="A121" t="s">
        <v>266</v>
      </c>
      <c r="B121" t="s">
        <v>267</v>
      </c>
      <c r="C121" t="s">
        <v>63</v>
      </c>
      <c r="D121" t="s">
        <v>64</v>
      </c>
      <c r="F121" s="10">
        <v>1519</v>
      </c>
      <c r="H121" s="10">
        <v>2963</v>
      </c>
      <c r="J121" s="11">
        <v>4482</v>
      </c>
    </row>
    <row r="122" spans="1:10" x14ac:dyDescent="0.35">
      <c r="A122" t="s">
        <v>268</v>
      </c>
      <c r="B122" t="s">
        <v>77</v>
      </c>
      <c r="C122" t="s">
        <v>63</v>
      </c>
      <c r="D122" t="s">
        <v>64</v>
      </c>
      <c r="H122">
        <v>605</v>
      </c>
      <c r="J122" s="11">
        <v>605</v>
      </c>
    </row>
    <row r="123" spans="1:10" x14ac:dyDescent="0.35">
      <c r="A123" t="s">
        <v>269</v>
      </c>
      <c r="B123" t="s">
        <v>270</v>
      </c>
      <c r="C123" t="s">
        <v>63</v>
      </c>
      <c r="D123" t="s">
        <v>64</v>
      </c>
      <c r="G123">
        <v>10</v>
      </c>
      <c r="J123" s="11">
        <v>10</v>
      </c>
    </row>
    <row r="124" spans="1:10" x14ac:dyDescent="0.35">
      <c r="A124" t="s">
        <v>271</v>
      </c>
      <c r="B124" t="s">
        <v>272</v>
      </c>
      <c r="C124" t="s">
        <v>63</v>
      </c>
      <c r="D124" t="s">
        <v>64</v>
      </c>
      <c r="F124">
        <v>426</v>
      </c>
      <c r="H124" s="10">
        <v>1252</v>
      </c>
      <c r="I124">
        <v>172</v>
      </c>
      <c r="J124" s="11">
        <v>1850</v>
      </c>
    </row>
    <row r="125" spans="1:10" x14ac:dyDescent="0.35">
      <c r="A125" t="s">
        <v>273</v>
      </c>
      <c r="B125" t="s">
        <v>93</v>
      </c>
      <c r="C125" t="s">
        <v>63</v>
      </c>
      <c r="D125" t="s">
        <v>64</v>
      </c>
      <c r="H125" s="10">
        <v>11028</v>
      </c>
      <c r="J125" s="11">
        <v>11028</v>
      </c>
    </row>
    <row r="126" spans="1:10" x14ac:dyDescent="0.35">
      <c r="A126" t="s">
        <v>274</v>
      </c>
      <c r="B126" t="s">
        <v>135</v>
      </c>
      <c r="C126" t="s">
        <v>63</v>
      </c>
      <c r="D126" t="s">
        <v>64</v>
      </c>
      <c r="E126">
        <v>0</v>
      </c>
      <c r="F126">
        <v>0</v>
      </c>
      <c r="G126">
        <v>0</v>
      </c>
      <c r="H126" s="10">
        <v>5680</v>
      </c>
      <c r="I126">
        <v>0</v>
      </c>
      <c r="J126" s="11">
        <v>5680</v>
      </c>
    </row>
    <row r="127" spans="1:10" x14ac:dyDescent="0.35">
      <c r="A127" t="s">
        <v>275</v>
      </c>
      <c r="B127" t="s">
        <v>135</v>
      </c>
      <c r="C127" t="s">
        <v>63</v>
      </c>
      <c r="D127" t="s">
        <v>64</v>
      </c>
      <c r="E127" s="10">
        <v>82768</v>
      </c>
      <c r="F127">
        <v>46</v>
      </c>
      <c r="G127" s="10">
        <v>2509</v>
      </c>
      <c r="H127">
        <v>305</v>
      </c>
      <c r="I127">
        <v>31</v>
      </c>
      <c r="J127" s="11">
        <v>85659</v>
      </c>
    </row>
    <row r="128" spans="1:10" x14ac:dyDescent="0.35">
      <c r="A128" t="s">
        <v>276</v>
      </c>
      <c r="B128" t="s">
        <v>77</v>
      </c>
      <c r="C128" t="s">
        <v>63</v>
      </c>
      <c r="D128" t="s">
        <v>64</v>
      </c>
      <c r="G128">
        <v>605</v>
      </c>
      <c r="H128">
        <v>46</v>
      </c>
      <c r="J128" s="11">
        <v>651</v>
      </c>
    </row>
    <row r="129" spans="1:10" x14ac:dyDescent="0.35">
      <c r="A129" t="s">
        <v>277</v>
      </c>
      <c r="B129" t="s">
        <v>278</v>
      </c>
      <c r="C129" t="s">
        <v>63</v>
      </c>
      <c r="D129" t="s">
        <v>64</v>
      </c>
      <c r="I129">
        <v>781</v>
      </c>
      <c r="J129" s="11">
        <v>781</v>
      </c>
    </row>
    <row r="130" spans="1:10" x14ac:dyDescent="0.35">
      <c r="A130" t="s">
        <v>279</v>
      </c>
      <c r="B130" t="s">
        <v>77</v>
      </c>
      <c r="C130" t="s">
        <v>63</v>
      </c>
      <c r="D130" t="s">
        <v>78</v>
      </c>
      <c r="H130" s="10">
        <v>3383</v>
      </c>
      <c r="J130" s="11">
        <v>3383</v>
      </c>
    </row>
    <row r="131" spans="1:10" x14ac:dyDescent="0.35">
      <c r="A131" t="s">
        <v>280</v>
      </c>
      <c r="B131" t="s">
        <v>244</v>
      </c>
      <c r="C131" t="s">
        <v>63</v>
      </c>
      <c r="D131" t="s">
        <v>64</v>
      </c>
      <c r="E131" s="10">
        <v>5234</v>
      </c>
      <c r="F131">
        <v>0</v>
      </c>
      <c r="G131">
        <v>0</v>
      </c>
      <c r="H131">
        <v>100</v>
      </c>
      <c r="I131">
        <v>0</v>
      </c>
      <c r="J131" s="11">
        <v>5334</v>
      </c>
    </row>
    <row r="132" spans="1:10" x14ac:dyDescent="0.35">
      <c r="A132" t="s">
        <v>281</v>
      </c>
      <c r="B132" t="s">
        <v>77</v>
      </c>
      <c r="C132" t="s">
        <v>86</v>
      </c>
      <c r="D132" t="s">
        <v>64</v>
      </c>
      <c r="H132" s="10">
        <v>4462</v>
      </c>
      <c r="J132" s="11">
        <v>4462</v>
      </c>
    </row>
    <row r="133" spans="1:10" x14ac:dyDescent="0.35">
      <c r="A133" t="s">
        <v>282</v>
      </c>
      <c r="B133" t="s">
        <v>135</v>
      </c>
      <c r="C133" t="s">
        <v>63</v>
      </c>
      <c r="D133" t="s">
        <v>64</v>
      </c>
      <c r="E133" s="10">
        <v>8731</v>
      </c>
      <c r="F133">
        <v>0</v>
      </c>
      <c r="G133">
        <v>0</v>
      </c>
      <c r="H133">
        <v>22</v>
      </c>
      <c r="I133">
        <v>0</v>
      </c>
      <c r="J133" s="11">
        <v>8753</v>
      </c>
    </row>
    <row r="134" spans="1:10" x14ac:dyDescent="0.35">
      <c r="A134" t="s">
        <v>283</v>
      </c>
      <c r="B134" t="s">
        <v>284</v>
      </c>
      <c r="C134" t="s">
        <v>63</v>
      </c>
      <c r="D134" t="s">
        <v>64</v>
      </c>
      <c r="H134" s="10">
        <v>1064</v>
      </c>
      <c r="J134" s="11">
        <v>1064</v>
      </c>
    </row>
    <row r="135" spans="1:10" x14ac:dyDescent="0.35">
      <c r="A135" t="s">
        <v>285</v>
      </c>
      <c r="B135" t="s">
        <v>77</v>
      </c>
      <c r="C135" t="s">
        <v>63</v>
      </c>
      <c r="D135" t="s">
        <v>64</v>
      </c>
      <c r="E135" s="10">
        <v>11236</v>
      </c>
      <c r="G135">
        <v>145</v>
      </c>
      <c r="J135" s="11">
        <v>11381</v>
      </c>
    </row>
    <row r="136" spans="1:10" x14ac:dyDescent="0.35">
      <c r="A136" t="s">
        <v>286</v>
      </c>
      <c r="B136" t="s">
        <v>287</v>
      </c>
      <c r="C136" t="s">
        <v>63</v>
      </c>
      <c r="D136" t="s">
        <v>64</v>
      </c>
      <c r="H136">
        <v>551</v>
      </c>
      <c r="J136" s="11">
        <v>551</v>
      </c>
    </row>
    <row r="137" spans="1:10" x14ac:dyDescent="0.35">
      <c r="A137" t="s">
        <v>288</v>
      </c>
      <c r="B137" t="s">
        <v>289</v>
      </c>
      <c r="C137" t="s">
        <v>63</v>
      </c>
      <c r="D137" t="s">
        <v>78</v>
      </c>
      <c r="E137" s="10">
        <v>45276</v>
      </c>
      <c r="F137">
        <v>46</v>
      </c>
      <c r="H137">
        <v>19</v>
      </c>
      <c r="I137">
        <v>211</v>
      </c>
      <c r="J137" s="11">
        <v>45552</v>
      </c>
    </row>
    <row r="138" spans="1:10" x14ac:dyDescent="0.35">
      <c r="A138" t="s">
        <v>290</v>
      </c>
      <c r="B138" t="s">
        <v>91</v>
      </c>
      <c r="C138" t="s">
        <v>63</v>
      </c>
      <c r="D138" t="s">
        <v>64</v>
      </c>
      <c r="H138">
        <v>18</v>
      </c>
      <c r="J138" s="11">
        <v>18</v>
      </c>
    </row>
    <row r="139" spans="1:10" x14ac:dyDescent="0.35">
      <c r="A139" t="s">
        <v>291</v>
      </c>
      <c r="B139" t="s">
        <v>199</v>
      </c>
      <c r="C139" t="s">
        <v>63</v>
      </c>
      <c r="D139" t="s">
        <v>64</v>
      </c>
      <c r="H139" s="10">
        <v>5303</v>
      </c>
      <c r="J139" s="11">
        <v>5303</v>
      </c>
    </row>
    <row r="140" spans="1:10" x14ac:dyDescent="0.35">
      <c r="A140" t="s">
        <v>292</v>
      </c>
      <c r="B140" t="s">
        <v>77</v>
      </c>
      <c r="C140" t="s">
        <v>63</v>
      </c>
      <c r="D140" t="s">
        <v>78</v>
      </c>
      <c r="H140">
        <v>772</v>
      </c>
      <c r="J140" s="11">
        <v>772</v>
      </c>
    </row>
    <row r="141" spans="1:10" x14ac:dyDescent="0.35">
      <c r="A141" t="s">
        <v>293</v>
      </c>
      <c r="B141" t="s">
        <v>180</v>
      </c>
      <c r="C141" t="s">
        <v>63</v>
      </c>
      <c r="D141" t="s">
        <v>64</v>
      </c>
      <c r="E141" s="10">
        <v>84602</v>
      </c>
      <c r="F141">
        <v>45</v>
      </c>
      <c r="G141" s="10">
        <v>6063</v>
      </c>
      <c r="H141">
        <v>81</v>
      </c>
      <c r="I141">
        <v>394</v>
      </c>
      <c r="J141" s="11">
        <v>91185</v>
      </c>
    </row>
    <row r="142" spans="1:10" x14ac:dyDescent="0.35">
      <c r="A142" t="s">
        <v>294</v>
      </c>
      <c r="B142" t="s">
        <v>170</v>
      </c>
      <c r="C142" t="s">
        <v>63</v>
      </c>
      <c r="D142" t="s">
        <v>78</v>
      </c>
      <c r="E142" s="10">
        <v>65216</v>
      </c>
      <c r="F142">
        <v>3</v>
      </c>
      <c r="G142" s="10">
        <v>5410</v>
      </c>
      <c r="H142">
        <v>140</v>
      </c>
      <c r="I142">
        <v>49</v>
      </c>
      <c r="J142" s="11">
        <v>70818</v>
      </c>
    </row>
    <row r="143" spans="1:10" x14ac:dyDescent="0.35">
      <c r="A143" t="s">
        <v>295</v>
      </c>
      <c r="B143" t="s">
        <v>77</v>
      </c>
      <c r="C143" t="s">
        <v>63</v>
      </c>
      <c r="D143" t="s">
        <v>64</v>
      </c>
      <c r="E143">
        <v>472</v>
      </c>
      <c r="F143">
        <v>0</v>
      </c>
      <c r="G143">
        <v>219</v>
      </c>
      <c r="H143">
        <v>0</v>
      </c>
      <c r="I143">
        <v>6</v>
      </c>
      <c r="J143" s="11">
        <v>697</v>
      </c>
    </row>
    <row r="144" spans="1:10" x14ac:dyDescent="0.35">
      <c r="A144" t="s">
        <v>296</v>
      </c>
      <c r="B144" t="s">
        <v>297</v>
      </c>
      <c r="C144" t="s">
        <v>63</v>
      </c>
      <c r="D144" t="s">
        <v>64</v>
      </c>
      <c r="E144" s="10">
        <v>1369</v>
      </c>
      <c r="F144">
        <v>0</v>
      </c>
      <c r="G144">
        <v>86</v>
      </c>
      <c r="H144">
        <v>0</v>
      </c>
      <c r="I144">
        <v>0</v>
      </c>
      <c r="J144" s="11">
        <v>1455</v>
      </c>
    </row>
    <row r="145" spans="1:10" x14ac:dyDescent="0.35">
      <c r="A145" t="s">
        <v>298</v>
      </c>
      <c r="B145" t="s">
        <v>299</v>
      </c>
      <c r="C145" t="s">
        <v>63</v>
      </c>
      <c r="D145" t="s">
        <v>78</v>
      </c>
      <c r="F145">
        <v>249</v>
      </c>
      <c r="I145">
        <v>403</v>
      </c>
      <c r="J145" s="11">
        <v>652</v>
      </c>
    </row>
    <row r="146" spans="1:10" x14ac:dyDescent="0.35">
      <c r="A146" t="s">
        <v>300</v>
      </c>
      <c r="B146" t="s">
        <v>77</v>
      </c>
      <c r="C146" t="s">
        <v>63</v>
      </c>
      <c r="D146" t="s">
        <v>64</v>
      </c>
      <c r="H146" s="10">
        <v>2960</v>
      </c>
      <c r="J146" s="11">
        <v>2960</v>
      </c>
    </row>
    <row r="147" spans="1:10" x14ac:dyDescent="0.35">
      <c r="A147" t="s">
        <v>301</v>
      </c>
      <c r="B147" t="s">
        <v>77</v>
      </c>
      <c r="C147" t="s">
        <v>63</v>
      </c>
      <c r="D147" t="s">
        <v>64</v>
      </c>
      <c r="H147">
        <v>765</v>
      </c>
      <c r="J147" s="11">
        <v>765</v>
      </c>
    </row>
    <row r="148" spans="1:10" x14ac:dyDescent="0.35">
      <c r="A148" t="s">
        <v>302</v>
      </c>
      <c r="B148" t="s">
        <v>303</v>
      </c>
      <c r="C148" t="s">
        <v>63</v>
      </c>
      <c r="D148" t="s">
        <v>64</v>
      </c>
      <c r="E148" s="10">
        <v>1480</v>
      </c>
      <c r="G148" s="10">
        <v>1084</v>
      </c>
      <c r="J148" s="11">
        <v>2564</v>
      </c>
    </row>
    <row r="149" spans="1:10" x14ac:dyDescent="0.35">
      <c r="A149" t="s">
        <v>304</v>
      </c>
      <c r="B149" t="s">
        <v>305</v>
      </c>
      <c r="C149" t="s">
        <v>63</v>
      </c>
      <c r="D149" t="s">
        <v>64</v>
      </c>
      <c r="H149" s="10">
        <v>1573</v>
      </c>
      <c r="J149" s="11">
        <v>1573</v>
      </c>
    </row>
    <row r="150" spans="1:10" x14ac:dyDescent="0.35">
      <c r="A150" t="s">
        <v>306</v>
      </c>
      <c r="B150" t="s">
        <v>307</v>
      </c>
      <c r="C150" t="s">
        <v>86</v>
      </c>
      <c r="D150" t="s">
        <v>78</v>
      </c>
      <c r="E150">
        <v>774</v>
      </c>
      <c r="G150">
        <v>249</v>
      </c>
      <c r="J150" s="11">
        <v>1023</v>
      </c>
    </row>
    <row r="151" spans="1:10" x14ac:dyDescent="0.35">
      <c r="A151" t="s">
        <v>308</v>
      </c>
      <c r="B151" t="s">
        <v>309</v>
      </c>
      <c r="C151" t="s">
        <v>63</v>
      </c>
      <c r="D151" t="s">
        <v>78</v>
      </c>
      <c r="F151" s="10">
        <v>2731</v>
      </c>
      <c r="J151" s="11">
        <v>2731</v>
      </c>
    </row>
    <row r="152" spans="1:10" x14ac:dyDescent="0.35">
      <c r="A152" t="s">
        <v>310</v>
      </c>
      <c r="B152" t="s">
        <v>311</v>
      </c>
      <c r="C152" t="s">
        <v>63</v>
      </c>
      <c r="D152" t="s">
        <v>64</v>
      </c>
      <c r="G152">
        <v>718</v>
      </c>
      <c r="J152" s="11">
        <v>718</v>
      </c>
    </row>
    <row r="153" spans="1:10" x14ac:dyDescent="0.35">
      <c r="A153" t="s">
        <v>312</v>
      </c>
      <c r="B153" t="s">
        <v>313</v>
      </c>
      <c r="C153" t="s">
        <v>63</v>
      </c>
      <c r="D153" t="s">
        <v>64</v>
      </c>
      <c r="F153">
        <v>531</v>
      </c>
      <c r="H153">
        <v>347</v>
      </c>
      <c r="I153">
        <v>44</v>
      </c>
      <c r="J153" s="11">
        <v>922</v>
      </c>
    </row>
    <row r="154" spans="1:10" x14ac:dyDescent="0.35">
      <c r="A154" t="s">
        <v>314</v>
      </c>
      <c r="B154" t="s">
        <v>313</v>
      </c>
      <c r="C154" t="s">
        <v>63</v>
      </c>
      <c r="D154" t="s">
        <v>64</v>
      </c>
      <c r="F154" s="10">
        <v>12443</v>
      </c>
      <c r="G154">
        <v>7</v>
      </c>
      <c r="H154" s="10">
        <v>3322</v>
      </c>
      <c r="I154">
        <v>810</v>
      </c>
      <c r="J154" s="11">
        <v>16582</v>
      </c>
    </row>
    <row r="155" spans="1:10" x14ac:dyDescent="0.35">
      <c r="A155" t="s">
        <v>315</v>
      </c>
      <c r="B155" t="s">
        <v>186</v>
      </c>
      <c r="C155" t="s">
        <v>63</v>
      </c>
      <c r="D155" t="s">
        <v>64</v>
      </c>
      <c r="H155" s="10">
        <v>3241</v>
      </c>
      <c r="J155" s="11">
        <v>3241</v>
      </c>
    </row>
    <row r="156" spans="1:10" x14ac:dyDescent="0.35">
      <c r="A156" t="s">
        <v>316</v>
      </c>
      <c r="B156" t="s">
        <v>77</v>
      </c>
      <c r="C156" t="s">
        <v>63</v>
      </c>
      <c r="D156" t="s">
        <v>64</v>
      </c>
      <c r="E156">
        <v>693</v>
      </c>
      <c r="G156">
        <v>397</v>
      </c>
      <c r="H156">
        <v>2</v>
      </c>
      <c r="I156">
        <v>0</v>
      </c>
      <c r="J156" s="11">
        <v>1092</v>
      </c>
    </row>
    <row r="157" spans="1:10" x14ac:dyDescent="0.35">
      <c r="A157" t="s">
        <v>317</v>
      </c>
      <c r="B157" t="s">
        <v>318</v>
      </c>
      <c r="C157" t="s">
        <v>63</v>
      </c>
      <c r="D157" t="s">
        <v>64</v>
      </c>
      <c r="H157">
        <v>847</v>
      </c>
      <c r="J157" s="11">
        <v>847</v>
      </c>
    </row>
    <row r="158" spans="1:10" x14ac:dyDescent="0.35">
      <c r="A158" t="s">
        <v>319</v>
      </c>
      <c r="B158" t="s">
        <v>77</v>
      </c>
      <c r="C158" t="s">
        <v>63</v>
      </c>
      <c r="D158" t="s">
        <v>64</v>
      </c>
      <c r="H158" s="10">
        <v>3413</v>
      </c>
      <c r="J158" s="11">
        <v>3413</v>
      </c>
    </row>
    <row r="159" spans="1:10" x14ac:dyDescent="0.35">
      <c r="A159" t="s">
        <v>320</v>
      </c>
      <c r="B159" t="s">
        <v>321</v>
      </c>
      <c r="C159" t="s">
        <v>63</v>
      </c>
      <c r="D159" t="s">
        <v>64</v>
      </c>
      <c r="F159">
        <v>355</v>
      </c>
      <c r="G159">
        <v>2</v>
      </c>
      <c r="H159">
        <v>9</v>
      </c>
      <c r="I159">
        <v>273</v>
      </c>
      <c r="J159" s="11">
        <v>639</v>
      </c>
    </row>
    <row r="160" spans="1:10" x14ac:dyDescent="0.35">
      <c r="A160" t="s">
        <v>322</v>
      </c>
      <c r="B160" t="s">
        <v>321</v>
      </c>
      <c r="C160" t="s">
        <v>63</v>
      </c>
      <c r="D160" t="s">
        <v>64</v>
      </c>
      <c r="I160">
        <v>498</v>
      </c>
      <c r="J160" s="11">
        <v>498</v>
      </c>
    </row>
    <row r="161" spans="1:10" x14ac:dyDescent="0.35">
      <c r="A161" t="s">
        <v>323</v>
      </c>
      <c r="B161" t="s">
        <v>321</v>
      </c>
      <c r="C161" t="s">
        <v>63</v>
      </c>
      <c r="D161" t="s">
        <v>64</v>
      </c>
      <c r="F161">
        <v>820</v>
      </c>
      <c r="I161">
        <v>188</v>
      </c>
      <c r="J161" s="11">
        <v>1008</v>
      </c>
    </row>
    <row r="162" spans="1:10" x14ac:dyDescent="0.35">
      <c r="A162" t="s">
        <v>324</v>
      </c>
      <c r="B162" t="s">
        <v>325</v>
      </c>
      <c r="C162" t="s">
        <v>86</v>
      </c>
      <c r="D162" t="s">
        <v>64</v>
      </c>
      <c r="H162" s="10">
        <v>9410</v>
      </c>
      <c r="J162" s="11">
        <v>9410</v>
      </c>
    </row>
    <row r="163" spans="1:10" x14ac:dyDescent="0.35">
      <c r="A163" t="s">
        <v>326</v>
      </c>
      <c r="B163" t="s">
        <v>180</v>
      </c>
      <c r="C163" t="s">
        <v>63</v>
      </c>
      <c r="D163" t="s">
        <v>64</v>
      </c>
      <c r="I163" s="10">
        <v>1434</v>
      </c>
      <c r="J163" s="11">
        <v>1434</v>
      </c>
    </row>
    <row r="164" spans="1:10" x14ac:dyDescent="0.35">
      <c r="A164" t="s">
        <v>327</v>
      </c>
      <c r="B164" t="s">
        <v>313</v>
      </c>
      <c r="C164" t="s">
        <v>63</v>
      </c>
      <c r="D164" t="s">
        <v>64</v>
      </c>
      <c r="F164">
        <v>156</v>
      </c>
      <c r="H164">
        <v>310</v>
      </c>
      <c r="I164">
        <v>159</v>
      </c>
      <c r="J164" s="11">
        <v>625</v>
      </c>
    </row>
    <row r="165" spans="1:10" x14ac:dyDescent="0.35">
      <c r="A165" t="s">
        <v>328</v>
      </c>
      <c r="B165" t="s">
        <v>313</v>
      </c>
      <c r="C165" t="s">
        <v>63</v>
      </c>
      <c r="D165" t="s">
        <v>64</v>
      </c>
      <c r="F165" s="10">
        <v>3256</v>
      </c>
      <c r="H165">
        <v>533</v>
      </c>
      <c r="I165">
        <v>474</v>
      </c>
      <c r="J165" s="11">
        <v>4263</v>
      </c>
    </row>
    <row r="166" spans="1:10" x14ac:dyDescent="0.35">
      <c r="A166" t="s">
        <v>329</v>
      </c>
      <c r="B166" t="s">
        <v>77</v>
      </c>
      <c r="C166" t="s">
        <v>63</v>
      </c>
      <c r="D166" t="s">
        <v>73</v>
      </c>
      <c r="H166">
        <v>608</v>
      </c>
      <c r="J166" s="11">
        <v>608</v>
      </c>
    </row>
    <row r="167" spans="1:10" x14ac:dyDescent="0.35">
      <c r="A167" t="s">
        <v>330</v>
      </c>
      <c r="B167" t="s">
        <v>77</v>
      </c>
      <c r="C167" t="s">
        <v>63</v>
      </c>
      <c r="D167" t="s">
        <v>64</v>
      </c>
      <c r="F167">
        <v>569</v>
      </c>
      <c r="J167" s="11">
        <v>569</v>
      </c>
    </row>
    <row r="168" spans="1:10" x14ac:dyDescent="0.35">
      <c r="A168" t="s">
        <v>331</v>
      </c>
      <c r="B168" t="s">
        <v>332</v>
      </c>
      <c r="C168" t="s">
        <v>63</v>
      </c>
      <c r="D168" t="s">
        <v>64</v>
      </c>
      <c r="F168" s="10">
        <v>6081</v>
      </c>
      <c r="H168" s="10">
        <v>2400</v>
      </c>
      <c r="I168">
        <v>224</v>
      </c>
      <c r="J168" s="11">
        <v>8705</v>
      </c>
    </row>
    <row r="169" spans="1:10" x14ac:dyDescent="0.35">
      <c r="A169" t="s">
        <v>333</v>
      </c>
      <c r="B169" t="s">
        <v>334</v>
      </c>
      <c r="C169" t="s">
        <v>63</v>
      </c>
      <c r="D169" t="s">
        <v>64</v>
      </c>
      <c r="H169">
        <v>631</v>
      </c>
      <c r="J169" s="11">
        <v>631</v>
      </c>
    </row>
    <row r="170" spans="1:10" x14ac:dyDescent="0.35">
      <c r="A170" t="s">
        <v>335</v>
      </c>
      <c r="B170" t="s">
        <v>72</v>
      </c>
      <c r="C170" t="s">
        <v>63</v>
      </c>
      <c r="D170" t="s">
        <v>73</v>
      </c>
      <c r="H170" s="10">
        <v>7375</v>
      </c>
      <c r="J170" s="11">
        <v>7375</v>
      </c>
    </row>
    <row r="171" spans="1:10" x14ac:dyDescent="0.35">
      <c r="A171" t="s">
        <v>336</v>
      </c>
      <c r="B171" t="s">
        <v>236</v>
      </c>
      <c r="C171" t="s">
        <v>63</v>
      </c>
      <c r="D171" t="s">
        <v>237</v>
      </c>
      <c r="E171" s="10">
        <v>1301</v>
      </c>
      <c r="H171">
        <v>527</v>
      </c>
      <c r="J171" s="11">
        <v>1828</v>
      </c>
    </row>
    <row r="172" spans="1:10" x14ac:dyDescent="0.35">
      <c r="A172" t="s">
        <v>337</v>
      </c>
      <c r="B172" t="s">
        <v>338</v>
      </c>
      <c r="C172" t="s">
        <v>63</v>
      </c>
      <c r="D172" t="s">
        <v>64</v>
      </c>
      <c r="E172" s="10">
        <v>62482</v>
      </c>
      <c r="F172">
        <v>21</v>
      </c>
      <c r="G172" s="10">
        <v>4262</v>
      </c>
      <c r="H172">
        <v>106</v>
      </c>
      <c r="I172">
        <v>92</v>
      </c>
      <c r="J172" s="11">
        <v>66963</v>
      </c>
    </row>
    <row r="173" spans="1:10" x14ac:dyDescent="0.35">
      <c r="A173" t="s">
        <v>339</v>
      </c>
      <c r="B173" t="s">
        <v>172</v>
      </c>
      <c r="C173" t="s">
        <v>63</v>
      </c>
      <c r="D173" t="s">
        <v>64</v>
      </c>
      <c r="E173">
        <v>0</v>
      </c>
      <c r="F173" s="10">
        <v>6212</v>
      </c>
      <c r="G173">
        <v>0</v>
      </c>
      <c r="H173">
        <v>15</v>
      </c>
      <c r="I173">
        <v>244</v>
      </c>
      <c r="J173" s="11">
        <v>6471</v>
      </c>
    </row>
    <row r="174" spans="1:10" x14ac:dyDescent="0.35">
      <c r="A174" t="s">
        <v>340</v>
      </c>
      <c r="B174" t="s">
        <v>77</v>
      </c>
      <c r="C174" t="s">
        <v>63</v>
      </c>
      <c r="D174" t="s">
        <v>64</v>
      </c>
      <c r="F174">
        <v>326</v>
      </c>
      <c r="H174">
        <v>343</v>
      </c>
      <c r="I174">
        <v>399</v>
      </c>
      <c r="J174" s="11">
        <v>1068</v>
      </c>
    </row>
    <row r="175" spans="1:10" x14ac:dyDescent="0.35">
      <c r="A175" t="s">
        <v>341</v>
      </c>
      <c r="B175" t="s">
        <v>135</v>
      </c>
      <c r="C175" t="s">
        <v>63</v>
      </c>
      <c r="D175" t="s">
        <v>64</v>
      </c>
      <c r="E175">
        <v>0</v>
      </c>
      <c r="F175" s="10">
        <v>5551</v>
      </c>
      <c r="G175">
        <v>0</v>
      </c>
      <c r="H175">
        <v>977</v>
      </c>
      <c r="I175" s="10">
        <v>1158</v>
      </c>
      <c r="J175" s="11">
        <v>7686</v>
      </c>
    </row>
    <row r="176" spans="1:10" x14ac:dyDescent="0.35">
      <c r="A176" t="s">
        <v>342</v>
      </c>
      <c r="B176" t="s">
        <v>77</v>
      </c>
      <c r="C176" t="s">
        <v>63</v>
      </c>
      <c r="D176" t="s">
        <v>64</v>
      </c>
      <c r="E176">
        <v>290</v>
      </c>
      <c r="G176">
        <v>1</v>
      </c>
      <c r="J176" s="11">
        <v>291</v>
      </c>
    </row>
    <row r="177" spans="1:10" x14ac:dyDescent="0.35">
      <c r="A177" t="s">
        <v>343</v>
      </c>
      <c r="B177" t="s">
        <v>344</v>
      </c>
      <c r="C177" t="s">
        <v>63</v>
      </c>
      <c r="D177" t="s">
        <v>64</v>
      </c>
      <c r="E177">
        <v>945</v>
      </c>
      <c r="G177">
        <v>400</v>
      </c>
      <c r="J177" s="11">
        <v>1345</v>
      </c>
    </row>
    <row r="178" spans="1:10" x14ac:dyDescent="0.35">
      <c r="A178" t="s">
        <v>345</v>
      </c>
      <c r="B178" t="s">
        <v>346</v>
      </c>
      <c r="C178" t="s">
        <v>63</v>
      </c>
      <c r="D178" t="s">
        <v>64</v>
      </c>
      <c r="H178">
        <v>100</v>
      </c>
      <c r="J178" s="11">
        <v>100</v>
      </c>
    </row>
    <row r="179" spans="1:10" x14ac:dyDescent="0.35">
      <c r="A179" t="s">
        <v>347</v>
      </c>
      <c r="B179" t="s">
        <v>348</v>
      </c>
      <c r="C179" t="s">
        <v>63</v>
      </c>
      <c r="D179" t="s">
        <v>64</v>
      </c>
      <c r="H179" s="10">
        <v>2116</v>
      </c>
      <c r="J179" s="11">
        <v>2116</v>
      </c>
    </row>
    <row r="180" spans="1:10" x14ac:dyDescent="0.35">
      <c r="A180" t="s">
        <v>349</v>
      </c>
      <c r="B180" t="s">
        <v>176</v>
      </c>
      <c r="C180" t="s">
        <v>63</v>
      </c>
      <c r="D180" t="s">
        <v>64</v>
      </c>
      <c r="E180" s="10">
        <v>3936</v>
      </c>
      <c r="F180">
        <v>52</v>
      </c>
      <c r="G180">
        <v>670</v>
      </c>
      <c r="I180">
        <v>66</v>
      </c>
      <c r="J180" s="11">
        <v>4724</v>
      </c>
    </row>
    <row r="181" spans="1:10" x14ac:dyDescent="0.35">
      <c r="A181" t="s">
        <v>350</v>
      </c>
      <c r="B181" t="s">
        <v>351</v>
      </c>
      <c r="C181" t="s">
        <v>63</v>
      </c>
      <c r="D181" t="s">
        <v>64</v>
      </c>
      <c r="H181" s="10">
        <v>5756</v>
      </c>
      <c r="J181" s="11">
        <v>5756</v>
      </c>
    </row>
    <row r="182" spans="1:10" x14ac:dyDescent="0.35">
      <c r="A182" t="s">
        <v>352</v>
      </c>
      <c r="B182" t="s">
        <v>353</v>
      </c>
      <c r="C182" t="s">
        <v>63</v>
      </c>
      <c r="D182" t="s">
        <v>64</v>
      </c>
      <c r="H182" s="10">
        <v>1472</v>
      </c>
      <c r="J182" s="11">
        <v>1472</v>
      </c>
    </row>
    <row r="183" spans="1:10" x14ac:dyDescent="0.35">
      <c r="A183" t="s">
        <v>354</v>
      </c>
      <c r="B183" t="s">
        <v>355</v>
      </c>
      <c r="C183" t="s">
        <v>63</v>
      </c>
      <c r="D183" t="s">
        <v>64</v>
      </c>
      <c r="F183">
        <v>571</v>
      </c>
      <c r="H183">
        <v>4</v>
      </c>
      <c r="I183">
        <v>232</v>
      </c>
      <c r="J183" s="11">
        <v>807</v>
      </c>
    </row>
    <row r="184" spans="1:10" x14ac:dyDescent="0.35">
      <c r="A184" t="s">
        <v>356</v>
      </c>
      <c r="B184" t="s">
        <v>355</v>
      </c>
      <c r="C184" t="s">
        <v>63</v>
      </c>
      <c r="D184" t="s">
        <v>64</v>
      </c>
      <c r="E184">
        <v>1</v>
      </c>
      <c r="F184" s="10">
        <v>3663</v>
      </c>
      <c r="G184">
        <v>27</v>
      </c>
      <c r="H184">
        <v>222</v>
      </c>
      <c r="I184" s="10">
        <v>3030</v>
      </c>
      <c r="J184" s="11">
        <v>6943</v>
      </c>
    </row>
    <row r="185" spans="1:10" x14ac:dyDescent="0.35">
      <c r="A185" t="s">
        <v>357</v>
      </c>
      <c r="B185" t="s">
        <v>77</v>
      </c>
      <c r="C185" t="s">
        <v>63</v>
      </c>
      <c r="D185" t="s">
        <v>78</v>
      </c>
      <c r="E185" s="10">
        <v>17629</v>
      </c>
      <c r="J185" s="11">
        <v>17629</v>
      </c>
    </row>
    <row r="186" spans="1:10" x14ac:dyDescent="0.35">
      <c r="A186" t="s">
        <v>358</v>
      </c>
      <c r="B186" t="s">
        <v>359</v>
      </c>
      <c r="C186" t="s">
        <v>63</v>
      </c>
      <c r="D186" t="s">
        <v>64</v>
      </c>
      <c r="H186" s="10">
        <v>1083</v>
      </c>
      <c r="J186" s="11">
        <v>1083</v>
      </c>
    </row>
    <row r="187" spans="1:10" x14ac:dyDescent="0.35">
      <c r="A187" t="s">
        <v>360</v>
      </c>
      <c r="B187" t="s">
        <v>361</v>
      </c>
      <c r="C187" t="s">
        <v>63</v>
      </c>
      <c r="D187" t="s">
        <v>78</v>
      </c>
      <c r="G187">
        <v>642</v>
      </c>
      <c r="J187" s="11">
        <v>642</v>
      </c>
    </row>
    <row r="188" spans="1:10" x14ac:dyDescent="0.35">
      <c r="A188" t="s">
        <v>362</v>
      </c>
      <c r="B188" t="s">
        <v>363</v>
      </c>
      <c r="C188" t="s">
        <v>63</v>
      </c>
      <c r="D188" t="s">
        <v>64</v>
      </c>
      <c r="H188" s="10">
        <v>2803</v>
      </c>
      <c r="J188" s="11">
        <v>2803</v>
      </c>
    </row>
    <row r="189" spans="1:10" x14ac:dyDescent="0.35">
      <c r="A189" t="s">
        <v>364</v>
      </c>
      <c r="B189" t="s">
        <v>365</v>
      </c>
      <c r="C189" t="s">
        <v>63</v>
      </c>
      <c r="D189" t="s">
        <v>64</v>
      </c>
      <c r="H189">
        <v>287</v>
      </c>
      <c r="J189" s="11">
        <v>287</v>
      </c>
    </row>
    <row r="190" spans="1:10" x14ac:dyDescent="0.35">
      <c r="A190" t="s">
        <v>366</v>
      </c>
      <c r="B190" t="s">
        <v>367</v>
      </c>
      <c r="C190" t="s">
        <v>63</v>
      </c>
      <c r="D190" t="s">
        <v>237</v>
      </c>
      <c r="H190" s="10">
        <v>4894</v>
      </c>
      <c r="J190" s="11">
        <v>4894</v>
      </c>
    </row>
    <row r="191" spans="1:10" x14ac:dyDescent="0.35">
      <c r="A191" t="s">
        <v>368</v>
      </c>
      <c r="B191" t="s">
        <v>367</v>
      </c>
      <c r="C191" t="s">
        <v>63</v>
      </c>
      <c r="D191" t="s">
        <v>237</v>
      </c>
      <c r="H191" s="10">
        <v>2664</v>
      </c>
      <c r="J191" s="11">
        <v>2664</v>
      </c>
    </row>
    <row r="192" spans="1:10" x14ac:dyDescent="0.35">
      <c r="A192" t="s">
        <v>369</v>
      </c>
      <c r="B192" t="s">
        <v>184</v>
      </c>
      <c r="C192" t="s">
        <v>63</v>
      </c>
      <c r="D192" t="s">
        <v>64</v>
      </c>
      <c r="E192" s="10">
        <v>8443</v>
      </c>
      <c r="F192">
        <v>0</v>
      </c>
      <c r="G192" s="10">
        <v>1128</v>
      </c>
      <c r="H192">
        <v>2</v>
      </c>
      <c r="I192">
        <v>0</v>
      </c>
      <c r="J192" s="11">
        <v>9573</v>
      </c>
    </row>
    <row r="193" spans="1:10" x14ac:dyDescent="0.35">
      <c r="A193" t="s">
        <v>370</v>
      </c>
      <c r="B193" t="s">
        <v>170</v>
      </c>
      <c r="C193" t="s">
        <v>63</v>
      </c>
      <c r="D193" t="s">
        <v>78</v>
      </c>
      <c r="G193" s="10">
        <v>1522</v>
      </c>
      <c r="J193" s="11">
        <v>1522</v>
      </c>
    </row>
    <row r="194" spans="1:10" x14ac:dyDescent="0.35">
      <c r="A194" t="s">
        <v>371</v>
      </c>
      <c r="B194" t="s">
        <v>77</v>
      </c>
      <c r="C194" t="s">
        <v>86</v>
      </c>
      <c r="D194" t="s">
        <v>64</v>
      </c>
      <c r="F194">
        <v>76</v>
      </c>
      <c r="H194" s="10">
        <v>4864</v>
      </c>
      <c r="I194">
        <v>60</v>
      </c>
      <c r="J194" s="11">
        <v>5000</v>
      </c>
    </row>
    <row r="195" spans="1:10" x14ac:dyDescent="0.35">
      <c r="A195" t="s">
        <v>372</v>
      </c>
      <c r="B195" t="s">
        <v>278</v>
      </c>
      <c r="C195" t="s">
        <v>86</v>
      </c>
      <c r="D195" t="s">
        <v>64</v>
      </c>
      <c r="F195" s="10">
        <v>6617</v>
      </c>
      <c r="G195">
        <v>40</v>
      </c>
      <c r="H195">
        <v>785</v>
      </c>
      <c r="I195" s="10">
        <v>2721</v>
      </c>
      <c r="J195" s="11">
        <v>10163</v>
      </c>
    </row>
    <row r="196" spans="1:10" x14ac:dyDescent="0.35">
      <c r="A196" t="s">
        <v>373</v>
      </c>
      <c r="B196" t="s">
        <v>180</v>
      </c>
      <c r="C196" t="s">
        <v>63</v>
      </c>
      <c r="D196" t="s">
        <v>64</v>
      </c>
      <c r="E196" s="10">
        <v>18093</v>
      </c>
      <c r="F196">
        <v>5</v>
      </c>
      <c r="G196" s="10">
        <v>1215</v>
      </c>
      <c r="H196">
        <v>27</v>
      </c>
      <c r="I196">
        <v>93</v>
      </c>
      <c r="J196" s="11">
        <v>19433</v>
      </c>
    </row>
    <row r="197" spans="1:10" x14ac:dyDescent="0.35">
      <c r="A197" t="s">
        <v>374</v>
      </c>
      <c r="B197" t="s">
        <v>375</v>
      </c>
      <c r="C197" t="s">
        <v>63</v>
      </c>
      <c r="D197" t="s">
        <v>64</v>
      </c>
      <c r="G197" s="10">
        <v>2978</v>
      </c>
      <c r="J197" s="11">
        <v>2978</v>
      </c>
    </row>
    <row r="198" spans="1:10" x14ac:dyDescent="0.35">
      <c r="A198" t="s">
        <v>376</v>
      </c>
      <c r="B198" t="s">
        <v>377</v>
      </c>
      <c r="C198" t="s">
        <v>63</v>
      </c>
      <c r="D198" t="s">
        <v>64</v>
      </c>
      <c r="H198" s="10">
        <v>3993</v>
      </c>
      <c r="J198" s="11">
        <v>3993</v>
      </c>
    </row>
    <row r="199" spans="1:10" x14ac:dyDescent="0.35">
      <c r="A199" t="s">
        <v>378</v>
      </c>
      <c r="B199" t="s">
        <v>77</v>
      </c>
      <c r="C199" t="s">
        <v>63</v>
      </c>
      <c r="D199" t="s">
        <v>64</v>
      </c>
      <c r="E199">
        <v>538</v>
      </c>
      <c r="I199" s="10">
        <v>1680</v>
      </c>
      <c r="J199" s="11">
        <v>2218</v>
      </c>
    </row>
    <row r="200" spans="1:10" x14ac:dyDescent="0.35">
      <c r="A200" t="s">
        <v>379</v>
      </c>
      <c r="B200" t="s">
        <v>77</v>
      </c>
      <c r="C200" t="s">
        <v>63</v>
      </c>
      <c r="D200" t="s">
        <v>64</v>
      </c>
      <c r="F200">
        <v>854</v>
      </c>
      <c r="G200">
        <v>1</v>
      </c>
      <c r="H200">
        <v>2</v>
      </c>
      <c r="I200">
        <v>124</v>
      </c>
      <c r="J200" s="11">
        <v>981</v>
      </c>
    </row>
    <row r="201" spans="1:10" x14ac:dyDescent="0.35">
      <c r="A201" t="s">
        <v>380</v>
      </c>
      <c r="B201" t="s">
        <v>381</v>
      </c>
      <c r="C201" t="s">
        <v>63</v>
      </c>
      <c r="D201" t="s">
        <v>64</v>
      </c>
      <c r="E201" s="10">
        <v>31877</v>
      </c>
      <c r="G201" s="10">
        <v>1524</v>
      </c>
      <c r="H201">
        <v>29</v>
      </c>
      <c r="J201" s="11">
        <v>33430</v>
      </c>
    </row>
    <row r="202" spans="1:10" x14ac:dyDescent="0.35">
      <c r="A202" t="s">
        <v>382</v>
      </c>
      <c r="B202" t="s">
        <v>383</v>
      </c>
      <c r="C202" t="s">
        <v>63</v>
      </c>
      <c r="D202" t="s">
        <v>64</v>
      </c>
      <c r="H202" s="10">
        <v>37663</v>
      </c>
      <c r="J202" s="11">
        <v>37663</v>
      </c>
    </row>
    <row r="203" spans="1:10" x14ac:dyDescent="0.35">
      <c r="A203" t="s">
        <v>384</v>
      </c>
      <c r="B203" t="s">
        <v>385</v>
      </c>
      <c r="C203" t="s">
        <v>63</v>
      </c>
      <c r="D203" t="s">
        <v>64</v>
      </c>
      <c r="E203" s="10">
        <v>1816</v>
      </c>
      <c r="J203" s="11">
        <v>1816</v>
      </c>
    </row>
    <row r="204" spans="1:10" x14ac:dyDescent="0.35">
      <c r="A204" t="s">
        <v>386</v>
      </c>
      <c r="B204" t="s">
        <v>387</v>
      </c>
      <c r="C204" t="s">
        <v>63</v>
      </c>
      <c r="D204" t="s">
        <v>64</v>
      </c>
      <c r="E204">
        <v>70</v>
      </c>
      <c r="F204">
        <v>6</v>
      </c>
      <c r="G204">
        <v>10</v>
      </c>
      <c r="I204">
        <v>475</v>
      </c>
      <c r="J204" s="11">
        <v>561</v>
      </c>
    </row>
    <row r="205" spans="1:10" x14ac:dyDescent="0.35">
      <c r="A205" t="s">
        <v>388</v>
      </c>
      <c r="B205" t="s">
        <v>311</v>
      </c>
      <c r="C205" t="s">
        <v>63</v>
      </c>
      <c r="D205" t="s">
        <v>64</v>
      </c>
      <c r="G205">
        <v>643</v>
      </c>
      <c r="J205" s="11">
        <v>643</v>
      </c>
    </row>
    <row r="206" spans="1:10" x14ac:dyDescent="0.35">
      <c r="A206" t="s">
        <v>389</v>
      </c>
      <c r="B206" t="s">
        <v>390</v>
      </c>
      <c r="C206" t="s">
        <v>63</v>
      </c>
      <c r="D206" t="s">
        <v>64</v>
      </c>
      <c r="H206">
        <v>607</v>
      </c>
      <c r="J206" s="11">
        <v>607</v>
      </c>
    </row>
    <row r="207" spans="1:10" x14ac:dyDescent="0.35">
      <c r="A207" t="s">
        <v>391</v>
      </c>
      <c r="B207" t="s">
        <v>392</v>
      </c>
      <c r="C207" t="s">
        <v>63</v>
      </c>
      <c r="D207" t="s">
        <v>78</v>
      </c>
      <c r="H207" s="10">
        <v>2016</v>
      </c>
      <c r="J207" s="11">
        <v>2016</v>
      </c>
    </row>
    <row r="208" spans="1:10" x14ac:dyDescent="0.35">
      <c r="A208" t="s">
        <v>393</v>
      </c>
      <c r="B208" t="s">
        <v>394</v>
      </c>
      <c r="C208" t="s">
        <v>63</v>
      </c>
      <c r="D208" t="s">
        <v>64</v>
      </c>
      <c r="F208">
        <v>596</v>
      </c>
      <c r="I208" s="10">
        <v>1128</v>
      </c>
      <c r="J208" s="11">
        <v>1724</v>
      </c>
    </row>
    <row r="209" spans="1:10" x14ac:dyDescent="0.35">
      <c r="A209" t="s">
        <v>395</v>
      </c>
      <c r="B209" t="s">
        <v>396</v>
      </c>
      <c r="C209" t="s">
        <v>63</v>
      </c>
      <c r="D209" t="s">
        <v>64</v>
      </c>
      <c r="E209" s="10">
        <v>19927</v>
      </c>
      <c r="J209" s="11">
        <v>19927</v>
      </c>
    </row>
    <row r="210" spans="1:10" x14ac:dyDescent="0.35">
      <c r="A210" t="s">
        <v>397</v>
      </c>
      <c r="B210" t="s">
        <v>398</v>
      </c>
      <c r="C210" t="s">
        <v>86</v>
      </c>
      <c r="D210" t="s">
        <v>64</v>
      </c>
      <c r="H210" s="10">
        <v>10580</v>
      </c>
      <c r="J210" s="11">
        <v>10580</v>
      </c>
    </row>
    <row r="211" spans="1:10" x14ac:dyDescent="0.35">
      <c r="A211" t="s">
        <v>399</v>
      </c>
      <c r="B211" t="s">
        <v>400</v>
      </c>
      <c r="C211" t="s">
        <v>63</v>
      </c>
      <c r="D211" t="s">
        <v>78</v>
      </c>
      <c r="H211">
        <v>253</v>
      </c>
      <c r="J211" s="11">
        <v>253</v>
      </c>
    </row>
    <row r="212" spans="1:10" x14ac:dyDescent="0.35">
      <c r="A212" t="s">
        <v>401</v>
      </c>
      <c r="B212" t="s">
        <v>402</v>
      </c>
      <c r="C212" t="s">
        <v>63</v>
      </c>
      <c r="D212" t="s">
        <v>64</v>
      </c>
      <c r="H212">
        <v>22</v>
      </c>
      <c r="J212" s="11">
        <v>22</v>
      </c>
    </row>
    <row r="213" spans="1:10" x14ac:dyDescent="0.35">
      <c r="A213" t="s">
        <v>403</v>
      </c>
      <c r="B213" t="s">
        <v>77</v>
      </c>
      <c r="C213" t="s">
        <v>63</v>
      </c>
      <c r="D213" t="s">
        <v>64</v>
      </c>
      <c r="F213">
        <v>466</v>
      </c>
      <c r="H213">
        <v>92</v>
      </c>
      <c r="I213">
        <v>219</v>
      </c>
      <c r="J213" s="11">
        <v>777</v>
      </c>
    </row>
    <row r="214" spans="1:10" x14ac:dyDescent="0.35">
      <c r="A214" t="s">
        <v>404</v>
      </c>
      <c r="B214" t="s">
        <v>102</v>
      </c>
      <c r="C214" t="s">
        <v>63</v>
      </c>
      <c r="D214" t="s">
        <v>64</v>
      </c>
      <c r="H214">
        <v>547</v>
      </c>
      <c r="J214" s="11">
        <v>547</v>
      </c>
    </row>
    <row r="215" spans="1:10" x14ac:dyDescent="0.35">
      <c r="A215" t="s">
        <v>405</v>
      </c>
      <c r="B215" t="s">
        <v>406</v>
      </c>
      <c r="C215" t="s">
        <v>63</v>
      </c>
      <c r="D215" t="s">
        <v>64</v>
      </c>
      <c r="H215" s="10">
        <v>1319</v>
      </c>
      <c r="J215" s="11">
        <v>1319</v>
      </c>
    </row>
    <row r="216" spans="1:10" x14ac:dyDescent="0.35">
      <c r="A216" t="s">
        <v>407</v>
      </c>
      <c r="B216" t="s">
        <v>77</v>
      </c>
      <c r="C216" t="s">
        <v>63</v>
      </c>
      <c r="D216" t="s">
        <v>64</v>
      </c>
      <c r="E216" s="10">
        <v>1876</v>
      </c>
      <c r="G216">
        <v>540</v>
      </c>
      <c r="H216">
        <v>7</v>
      </c>
      <c r="I216">
        <v>1</v>
      </c>
      <c r="J216" s="11">
        <v>2424</v>
      </c>
    </row>
    <row r="217" spans="1:10" x14ac:dyDescent="0.35">
      <c r="A217" t="s">
        <v>408</v>
      </c>
      <c r="B217" t="s">
        <v>409</v>
      </c>
      <c r="C217" t="s">
        <v>63</v>
      </c>
      <c r="D217" t="s">
        <v>78</v>
      </c>
      <c r="E217" s="10">
        <v>1538</v>
      </c>
      <c r="J217" s="11">
        <v>1538</v>
      </c>
    </row>
    <row r="218" spans="1:10" x14ac:dyDescent="0.35">
      <c r="A218" t="s">
        <v>410</v>
      </c>
      <c r="B218" t="s">
        <v>411</v>
      </c>
      <c r="C218" t="s">
        <v>63</v>
      </c>
      <c r="D218" t="s">
        <v>64</v>
      </c>
      <c r="E218" s="10">
        <v>6533</v>
      </c>
      <c r="I218">
        <v>4</v>
      </c>
      <c r="J218" s="11">
        <v>6537</v>
      </c>
    </row>
    <row r="219" spans="1:10" x14ac:dyDescent="0.35">
      <c r="A219" t="s">
        <v>412</v>
      </c>
      <c r="B219" t="s">
        <v>413</v>
      </c>
      <c r="C219" t="s">
        <v>63</v>
      </c>
      <c r="D219" t="s">
        <v>64</v>
      </c>
      <c r="E219">
        <v>0</v>
      </c>
      <c r="F219">
        <v>777</v>
      </c>
      <c r="G219">
        <v>3</v>
      </c>
      <c r="H219" s="10">
        <v>1842</v>
      </c>
      <c r="I219">
        <v>293</v>
      </c>
      <c r="J219" s="11">
        <v>2915</v>
      </c>
    </row>
    <row r="220" spans="1:10" x14ac:dyDescent="0.35">
      <c r="A220" t="s">
        <v>414</v>
      </c>
      <c r="B220" t="s">
        <v>413</v>
      </c>
      <c r="C220" t="s">
        <v>63</v>
      </c>
      <c r="D220" t="s">
        <v>64</v>
      </c>
      <c r="H220" s="10">
        <v>3211</v>
      </c>
      <c r="J220" s="11">
        <v>3211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EFDE-A620-4350-84AC-54135304D902}">
  <dimension ref="A1:J220"/>
  <sheetViews>
    <sheetView workbookViewId="0">
      <selection activeCell="B23" sqref="B23"/>
    </sheetView>
  </sheetViews>
  <sheetFormatPr defaultRowHeight="14.5" x14ac:dyDescent="0.35"/>
  <cols>
    <col min="1" max="1" width="58" bestFit="1" customWidth="1"/>
    <col min="2" max="2" width="44.81640625" bestFit="1" customWidth="1"/>
    <col min="3" max="3" width="16.7265625" customWidth="1"/>
    <col min="4" max="4" width="22.81640625" bestFit="1" customWidth="1"/>
    <col min="5" max="5" width="24.81640625" customWidth="1"/>
    <col min="6" max="6" width="26.26953125" customWidth="1"/>
    <col min="7" max="7" width="15.7265625" customWidth="1"/>
    <col min="8" max="8" width="28.1796875" customWidth="1"/>
    <col min="9" max="9" width="14.453125" customWidth="1"/>
    <col min="10" max="10" width="13.453125" customWidth="1"/>
  </cols>
  <sheetData>
    <row r="1" spans="1:10" x14ac:dyDescent="0.35">
      <c r="A1" t="s">
        <v>52</v>
      </c>
      <c r="B1" t="s">
        <v>53</v>
      </c>
      <c r="C1" t="s">
        <v>54</v>
      </c>
      <c r="D1" t="s">
        <v>7</v>
      </c>
      <c r="E1" t="s">
        <v>55</v>
      </c>
      <c r="F1" t="s">
        <v>56</v>
      </c>
      <c r="G1" t="s">
        <v>57</v>
      </c>
      <c r="H1" t="s">
        <v>58</v>
      </c>
      <c r="I1" t="s">
        <v>59</v>
      </c>
      <c r="J1" s="12" t="s">
        <v>60</v>
      </c>
    </row>
    <row r="2" spans="1:10" x14ac:dyDescent="0.35">
      <c r="A2" t="s">
        <v>61</v>
      </c>
      <c r="B2" t="s">
        <v>62</v>
      </c>
      <c r="C2" t="s">
        <v>63</v>
      </c>
      <c r="D2" t="s">
        <v>64</v>
      </c>
      <c r="E2" s="12">
        <v>0.16669999999999999</v>
      </c>
      <c r="G2" s="12">
        <v>0.21249999999999999</v>
      </c>
      <c r="H2" s="12"/>
      <c r="J2" s="12">
        <v>0.21190000000000001</v>
      </c>
    </row>
    <row r="3" spans="1:10" x14ac:dyDescent="0.35">
      <c r="A3" t="s">
        <v>65</v>
      </c>
      <c r="B3" t="s">
        <v>66</v>
      </c>
      <c r="C3" t="s">
        <v>63</v>
      </c>
      <c r="D3" t="s">
        <v>64</v>
      </c>
      <c r="H3" s="12">
        <v>0.24049999999999999</v>
      </c>
      <c r="J3" s="12">
        <v>0.24049999999999999</v>
      </c>
    </row>
    <row r="4" spans="1:10" x14ac:dyDescent="0.35">
      <c r="A4" t="s">
        <v>67</v>
      </c>
      <c r="B4" t="s">
        <v>68</v>
      </c>
      <c r="C4" t="s">
        <v>63</v>
      </c>
      <c r="D4" t="s">
        <v>64</v>
      </c>
      <c r="H4" s="12">
        <v>0.1958</v>
      </c>
      <c r="J4" s="12">
        <v>0.1958</v>
      </c>
    </row>
    <row r="5" spans="1:10" x14ac:dyDescent="0.35">
      <c r="A5" t="s">
        <v>69</v>
      </c>
      <c r="B5" t="s">
        <v>70</v>
      </c>
      <c r="C5" t="s">
        <v>63</v>
      </c>
      <c r="D5" t="s">
        <v>64</v>
      </c>
      <c r="H5" s="12">
        <v>0.42780000000000001</v>
      </c>
      <c r="J5" s="12">
        <v>0.42780000000000001</v>
      </c>
    </row>
    <row r="6" spans="1:10" x14ac:dyDescent="0.35">
      <c r="A6" t="s">
        <v>71</v>
      </c>
      <c r="B6" t="s">
        <v>72</v>
      </c>
      <c r="C6" t="s">
        <v>63</v>
      </c>
      <c r="D6" t="s">
        <v>73</v>
      </c>
      <c r="H6" s="12">
        <v>0.33069999999999999</v>
      </c>
      <c r="J6" s="12">
        <v>0.33069999999999999</v>
      </c>
    </row>
    <row r="7" spans="1:10" x14ac:dyDescent="0.35">
      <c r="A7" t="s">
        <v>74</v>
      </c>
      <c r="B7" t="s">
        <v>75</v>
      </c>
      <c r="C7" t="s">
        <v>63</v>
      </c>
      <c r="D7" t="s">
        <v>64</v>
      </c>
      <c r="G7" s="12">
        <v>0.42859999999999998</v>
      </c>
      <c r="H7" s="12"/>
      <c r="J7" s="12">
        <v>0.42859999999999998</v>
      </c>
    </row>
    <row r="8" spans="1:10" x14ac:dyDescent="0.35">
      <c r="A8" t="s">
        <v>76</v>
      </c>
      <c r="B8" t="s">
        <v>77</v>
      </c>
      <c r="C8" t="s">
        <v>63</v>
      </c>
      <c r="D8" t="s">
        <v>78</v>
      </c>
      <c r="H8" s="12">
        <v>0.94</v>
      </c>
      <c r="J8" s="12">
        <v>0.94</v>
      </c>
    </row>
    <row r="9" spans="1:10" x14ac:dyDescent="0.35">
      <c r="A9" t="s">
        <v>79</v>
      </c>
      <c r="B9" t="s">
        <v>80</v>
      </c>
      <c r="C9" t="s">
        <v>63</v>
      </c>
      <c r="D9" t="s">
        <v>64</v>
      </c>
      <c r="H9" s="12">
        <v>0.16839999999999999</v>
      </c>
      <c r="J9" s="12">
        <v>0.16839999999999999</v>
      </c>
    </row>
    <row r="10" spans="1:10" x14ac:dyDescent="0.35">
      <c r="A10" t="s">
        <v>81</v>
      </c>
      <c r="B10" t="s">
        <v>82</v>
      </c>
      <c r="C10" t="s">
        <v>63</v>
      </c>
      <c r="D10" t="s">
        <v>64</v>
      </c>
      <c r="E10" s="12"/>
      <c r="G10" s="12"/>
      <c r="H10" s="12">
        <v>0.29110000000000003</v>
      </c>
      <c r="J10" s="12">
        <v>0.29110000000000003</v>
      </c>
    </row>
    <row r="11" spans="1:10" x14ac:dyDescent="0.35">
      <c r="A11" t="s">
        <v>83</v>
      </c>
      <c r="B11" t="s">
        <v>82</v>
      </c>
      <c r="C11" t="s">
        <v>63</v>
      </c>
      <c r="D11" t="s">
        <v>64</v>
      </c>
      <c r="E11" s="12"/>
      <c r="H11" s="12">
        <v>0.48870000000000002</v>
      </c>
      <c r="J11" s="12">
        <v>0.48870000000000002</v>
      </c>
    </row>
    <row r="12" spans="1:10" x14ac:dyDescent="0.35">
      <c r="A12" t="s">
        <v>84</v>
      </c>
      <c r="B12" t="s">
        <v>85</v>
      </c>
      <c r="C12" t="s">
        <v>86</v>
      </c>
      <c r="D12" t="s">
        <v>64</v>
      </c>
      <c r="H12" s="12">
        <v>0.26919999999999999</v>
      </c>
      <c r="J12" s="12">
        <v>0.26919999999999999</v>
      </c>
    </row>
    <row r="13" spans="1:10" x14ac:dyDescent="0.35">
      <c r="A13" t="s">
        <v>87</v>
      </c>
      <c r="B13" t="s">
        <v>88</v>
      </c>
      <c r="C13" t="s">
        <v>63</v>
      </c>
      <c r="D13" t="s">
        <v>78</v>
      </c>
      <c r="F13" s="12">
        <v>0.37390000000000001</v>
      </c>
      <c r="I13" s="12"/>
      <c r="J13" s="12">
        <v>0.37390000000000001</v>
      </c>
    </row>
    <row r="14" spans="1:10" x14ac:dyDescent="0.35">
      <c r="A14" t="s">
        <v>89</v>
      </c>
      <c r="B14" t="s">
        <v>88</v>
      </c>
      <c r="C14" t="s">
        <v>63</v>
      </c>
      <c r="D14" t="s">
        <v>78</v>
      </c>
      <c r="E14" s="12">
        <v>0.5</v>
      </c>
      <c r="F14" s="12">
        <v>0.34320000000000001</v>
      </c>
      <c r="I14" s="12">
        <v>0.37440000000000001</v>
      </c>
      <c r="J14" s="12">
        <v>0.37180000000000002</v>
      </c>
    </row>
    <row r="15" spans="1:10" x14ac:dyDescent="0.35">
      <c r="A15" t="s">
        <v>90</v>
      </c>
      <c r="B15" t="s">
        <v>91</v>
      </c>
      <c r="C15" t="s">
        <v>63</v>
      </c>
      <c r="D15" t="s">
        <v>64</v>
      </c>
      <c r="E15" s="12">
        <v>0.50849999999999995</v>
      </c>
      <c r="G15" s="12">
        <v>0.26069999999999999</v>
      </c>
      <c r="H15" s="12"/>
      <c r="J15" s="12">
        <v>0.3891</v>
      </c>
    </row>
    <row r="16" spans="1:10" x14ac:dyDescent="0.35">
      <c r="A16" t="s">
        <v>92</v>
      </c>
      <c r="B16" t="s">
        <v>93</v>
      </c>
      <c r="C16" t="s">
        <v>63</v>
      </c>
      <c r="D16" t="s">
        <v>64</v>
      </c>
      <c r="F16" s="12"/>
      <c r="H16" s="12">
        <v>0.2288</v>
      </c>
      <c r="I16" s="12"/>
      <c r="J16" s="12">
        <v>0.2288</v>
      </c>
    </row>
    <row r="17" spans="1:10" x14ac:dyDescent="0.35">
      <c r="A17" t="s">
        <v>94</v>
      </c>
      <c r="B17" t="s">
        <v>95</v>
      </c>
      <c r="C17" t="s">
        <v>63</v>
      </c>
      <c r="D17" t="s">
        <v>64</v>
      </c>
      <c r="E17" s="12">
        <v>0.18290000000000001</v>
      </c>
      <c r="H17" s="12">
        <v>1.2800000000000001E-2</v>
      </c>
      <c r="J17" s="12">
        <v>0.182</v>
      </c>
    </row>
    <row r="18" spans="1:10" x14ac:dyDescent="0.35">
      <c r="A18" t="s">
        <v>96</v>
      </c>
      <c r="B18" t="s">
        <v>97</v>
      </c>
      <c r="C18" t="s">
        <v>63</v>
      </c>
      <c r="D18" t="s">
        <v>64</v>
      </c>
      <c r="H18" s="12">
        <v>0.18079999999999999</v>
      </c>
      <c r="I18" s="12"/>
      <c r="J18" s="12">
        <v>0.18079999999999999</v>
      </c>
    </row>
    <row r="19" spans="1:10" x14ac:dyDescent="0.35">
      <c r="A19" t="s">
        <v>98</v>
      </c>
      <c r="B19" t="s">
        <v>99</v>
      </c>
      <c r="C19" t="s">
        <v>63</v>
      </c>
      <c r="D19" t="s">
        <v>64</v>
      </c>
      <c r="E19" s="12"/>
      <c r="H19" s="12">
        <v>8.6300000000000002E-2</v>
      </c>
      <c r="J19" s="12">
        <v>8.6300000000000002E-2</v>
      </c>
    </row>
    <row r="20" spans="1:10" x14ac:dyDescent="0.35">
      <c r="A20" t="s">
        <v>100</v>
      </c>
      <c r="B20" t="s">
        <v>77</v>
      </c>
      <c r="C20" t="s">
        <v>63</v>
      </c>
      <c r="D20" t="s">
        <v>64</v>
      </c>
      <c r="E20" s="12"/>
      <c r="G20" s="12"/>
      <c r="H20" s="12">
        <v>0.20780000000000001</v>
      </c>
      <c r="J20" s="12">
        <v>0.20780000000000001</v>
      </c>
    </row>
    <row r="21" spans="1:10" x14ac:dyDescent="0.35">
      <c r="A21" t="s">
        <v>101</v>
      </c>
      <c r="B21" t="s">
        <v>102</v>
      </c>
      <c r="C21" t="s">
        <v>63</v>
      </c>
      <c r="D21" t="s">
        <v>64</v>
      </c>
      <c r="E21" s="12"/>
      <c r="H21" s="12">
        <v>0.22220000000000001</v>
      </c>
      <c r="J21" s="12">
        <v>0.22220000000000001</v>
      </c>
    </row>
    <row r="22" spans="1:10" x14ac:dyDescent="0.35">
      <c r="A22" t="s">
        <v>103</v>
      </c>
      <c r="B22" t="s">
        <v>104</v>
      </c>
      <c r="C22" t="s">
        <v>63</v>
      </c>
      <c r="D22" t="s">
        <v>64</v>
      </c>
      <c r="E22" s="12"/>
      <c r="H22" s="12">
        <v>0.2427</v>
      </c>
      <c r="J22" s="12">
        <v>0.2427</v>
      </c>
    </row>
    <row r="23" spans="1:10" x14ac:dyDescent="0.35">
      <c r="A23" t="s">
        <v>105</v>
      </c>
      <c r="B23" t="s">
        <v>106</v>
      </c>
      <c r="C23" t="s">
        <v>86</v>
      </c>
      <c r="D23" t="s">
        <v>64</v>
      </c>
      <c r="H23" s="12">
        <v>0.33169999999999999</v>
      </c>
      <c r="J23" s="12">
        <v>0.33169999999999999</v>
      </c>
    </row>
    <row r="24" spans="1:10" x14ac:dyDescent="0.35">
      <c r="A24" t="s">
        <v>107</v>
      </c>
      <c r="B24" t="s">
        <v>108</v>
      </c>
      <c r="C24" t="s">
        <v>63</v>
      </c>
      <c r="D24" t="s">
        <v>109</v>
      </c>
      <c r="E24" s="12">
        <v>8.3299999999999999E-2</v>
      </c>
      <c r="F24" s="12"/>
      <c r="G24" s="12">
        <v>0.104</v>
      </c>
      <c r="H24" s="12"/>
      <c r="I24" s="12"/>
      <c r="J24" s="12">
        <v>0.1013</v>
      </c>
    </row>
    <row r="25" spans="1:10" x14ac:dyDescent="0.35">
      <c r="A25" t="s">
        <v>110</v>
      </c>
      <c r="B25" t="s">
        <v>111</v>
      </c>
      <c r="C25" t="s">
        <v>63</v>
      </c>
      <c r="D25" t="s">
        <v>64</v>
      </c>
      <c r="F25" s="12"/>
      <c r="H25" s="12">
        <v>0.65</v>
      </c>
      <c r="J25" s="12">
        <v>0.65</v>
      </c>
    </row>
    <row r="26" spans="1:10" x14ac:dyDescent="0.35">
      <c r="A26" t="s">
        <v>112</v>
      </c>
      <c r="B26" t="s">
        <v>113</v>
      </c>
      <c r="C26" t="s">
        <v>63</v>
      </c>
      <c r="D26" t="s">
        <v>109</v>
      </c>
      <c r="E26" s="12"/>
      <c r="H26" s="12">
        <v>0.15989999999999999</v>
      </c>
      <c r="J26" s="12">
        <v>0.15989999999999999</v>
      </c>
    </row>
    <row r="27" spans="1:10" x14ac:dyDescent="0.35">
      <c r="A27" t="s">
        <v>114</v>
      </c>
      <c r="B27" t="s">
        <v>115</v>
      </c>
      <c r="C27" t="s">
        <v>63</v>
      </c>
      <c r="D27" t="s">
        <v>64</v>
      </c>
      <c r="F27" s="12"/>
      <c r="H27" s="12">
        <v>0.38</v>
      </c>
      <c r="I27" s="12"/>
      <c r="J27" s="12">
        <v>0.38</v>
      </c>
    </row>
    <row r="28" spans="1:10" x14ac:dyDescent="0.35">
      <c r="A28" t="s">
        <v>116</v>
      </c>
      <c r="B28" t="s">
        <v>68</v>
      </c>
      <c r="C28" t="s">
        <v>63</v>
      </c>
      <c r="D28" t="s">
        <v>64</v>
      </c>
      <c r="F28" s="12"/>
      <c r="H28" s="12">
        <v>0.76270000000000004</v>
      </c>
      <c r="I28" s="12"/>
      <c r="J28" s="12">
        <v>0.76270000000000004</v>
      </c>
    </row>
    <row r="29" spans="1:10" x14ac:dyDescent="0.35">
      <c r="A29" t="s">
        <v>117</v>
      </c>
      <c r="B29" t="s">
        <v>118</v>
      </c>
      <c r="C29" t="s">
        <v>63</v>
      </c>
      <c r="D29" t="s">
        <v>73</v>
      </c>
      <c r="E29" s="12"/>
      <c r="H29" s="12">
        <v>0.56810000000000005</v>
      </c>
      <c r="J29" s="12">
        <v>0.56810000000000005</v>
      </c>
    </row>
    <row r="30" spans="1:10" x14ac:dyDescent="0.35">
      <c r="A30" t="s">
        <v>119</v>
      </c>
      <c r="B30" t="s">
        <v>120</v>
      </c>
      <c r="C30" t="s">
        <v>63</v>
      </c>
      <c r="D30" t="s">
        <v>64</v>
      </c>
      <c r="H30" s="12">
        <v>0.79710000000000003</v>
      </c>
      <c r="J30" s="12">
        <v>0.79710000000000003</v>
      </c>
    </row>
    <row r="31" spans="1:10" x14ac:dyDescent="0.35">
      <c r="A31" t="s">
        <v>121</v>
      </c>
      <c r="B31" t="s">
        <v>122</v>
      </c>
      <c r="C31" t="s">
        <v>63</v>
      </c>
      <c r="D31" t="s">
        <v>64</v>
      </c>
      <c r="H31" s="12">
        <v>0.49370000000000003</v>
      </c>
      <c r="J31" s="12">
        <v>0.49370000000000003</v>
      </c>
    </row>
    <row r="32" spans="1:10" x14ac:dyDescent="0.35">
      <c r="A32" t="s">
        <v>123</v>
      </c>
      <c r="B32" t="s">
        <v>122</v>
      </c>
      <c r="C32" t="s">
        <v>63</v>
      </c>
      <c r="D32" t="s">
        <v>64</v>
      </c>
      <c r="E32" s="12"/>
      <c r="F32" s="12"/>
      <c r="G32" s="12"/>
      <c r="H32" s="12">
        <v>0.43490000000000001</v>
      </c>
      <c r="J32" s="12">
        <v>0.43490000000000001</v>
      </c>
    </row>
    <row r="33" spans="1:10" x14ac:dyDescent="0.35">
      <c r="A33" t="s">
        <v>124</v>
      </c>
      <c r="B33" t="s">
        <v>122</v>
      </c>
      <c r="C33" t="s">
        <v>63</v>
      </c>
      <c r="D33" t="s">
        <v>64</v>
      </c>
      <c r="F33" s="12">
        <v>0.26419999999999999</v>
      </c>
      <c r="G33" s="12">
        <v>0.15720000000000001</v>
      </c>
      <c r="H33" s="12">
        <v>0.22550000000000001</v>
      </c>
      <c r="I33" s="12">
        <v>0.23449999999999999</v>
      </c>
      <c r="J33" s="12">
        <v>0.25119999999999998</v>
      </c>
    </row>
    <row r="34" spans="1:10" x14ac:dyDescent="0.35">
      <c r="A34" t="s">
        <v>125</v>
      </c>
      <c r="B34" t="s">
        <v>122</v>
      </c>
      <c r="C34" t="s">
        <v>63</v>
      </c>
      <c r="D34" t="s">
        <v>64</v>
      </c>
      <c r="E34" s="12"/>
      <c r="F34" s="12"/>
      <c r="G34" s="12"/>
      <c r="H34" s="12">
        <v>0.1275</v>
      </c>
      <c r="I34" s="12"/>
      <c r="J34" s="12">
        <v>0.1275</v>
      </c>
    </row>
    <row r="35" spans="1:10" x14ac:dyDescent="0.35">
      <c r="A35" t="s">
        <v>126</v>
      </c>
      <c r="B35" t="s">
        <v>93</v>
      </c>
      <c r="C35" t="s">
        <v>86</v>
      </c>
      <c r="D35" t="s">
        <v>64</v>
      </c>
      <c r="H35" s="12">
        <v>0.15459999999999999</v>
      </c>
      <c r="J35" s="12">
        <v>0.15459999999999999</v>
      </c>
    </row>
    <row r="36" spans="1:10" x14ac:dyDescent="0.35">
      <c r="A36" t="s">
        <v>127</v>
      </c>
      <c r="B36" t="s">
        <v>93</v>
      </c>
      <c r="C36" t="s">
        <v>86</v>
      </c>
      <c r="D36" t="s">
        <v>64</v>
      </c>
      <c r="E36" s="12"/>
      <c r="H36" s="12">
        <v>0.10730000000000001</v>
      </c>
      <c r="I36" s="12"/>
      <c r="J36" s="12">
        <v>0.10730000000000001</v>
      </c>
    </row>
    <row r="37" spans="1:10" x14ac:dyDescent="0.35">
      <c r="A37" t="s">
        <v>128</v>
      </c>
      <c r="B37" t="s">
        <v>129</v>
      </c>
      <c r="C37" t="s">
        <v>63</v>
      </c>
      <c r="D37" t="s">
        <v>64</v>
      </c>
      <c r="G37" s="12"/>
      <c r="H37" s="12">
        <v>0.84470000000000001</v>
      </c>
      <c r="J37" s="12">
        <v>0.84470000000000001</v>
      </c>
    </row>
    <row r="38" spans="1:10" x14ac:dyDescent="0.35">
      <c r="A38" t="s">
        <v>130</v>
      </c>
      <c r="B38" t="s">
        <v>129</v>
      </c>
      <c r="C38" t="s">
        <v>63</v>
      </c>
      <c r="D38" t="s">
        <v>64</v>
      </c>
      <c r="H38" s="12">
        <v>0.31169999999999998</v>
      </c>
      <c r="J38" s="12">
        <v>0.31169999999999998</v>
      </c>
    </row>
    <row r="39" spans="1:10" x14ac:dyDescent="0.35">
      <c r="A39" t="s">
        <v>131</v>
      </c>
      <c r="B39" t="s">
        <v>129</v>
      </c>
      <c r="C39" t="s">
        <v>63</v>
      </c>
      <c r="D39" t="s">
        <v>64</v>
      </c>
      <c r="F39" s="12"/>
      <c r="H39" s="12">
        <v>0.50990000000000002</v>
      </c>
      <c r="I39" s="12"/>
      <c r="J39" s="12">
        <v>0.50990000000000002</v>
      </c>
    </row>
    <row r="40" spans="1:10" x14ac:dyDescent="0.35">
      <c r="A40" t="s">
        <v>132</v>
      </c>
      <c r="B40" t="s">
        <v>133</v>
      </c>
      <c r="C40" t="s">
        <v>86</v>
      </c>
      <c r="D40" t="s">
        <v>64</v>
      </c>
      <c r="E40" s="12">
        <v>0.50639999999999996</v>
      </c>
      <c r="G40" s="12">
        <v>0.29089999999999999</v>
      </c>
      <c r="I40" s="12">
        <v>0.5</v>
      </c>
      <c r="J40" s="12">
        <v>0.42759999999999998</v>
      </c>
    </row>
    <row r="41" spans="1:10" x14ac:dyDescent="0.35">
      <c r="A41" t="s">
        <v>134</v>
      </c>
      <c r="B41" t="s">
        <v>135</v>
      </c>
      <c r="C41" t="s">
        <v>63</v>
      </c>
      <c r="D41" t="s">
        <v>64</v>
      </c>
      <c r="E41" s="12">
        <v>0.57440000000000002</v>
      </c>
      <c r="F41" s="12">
        <v>0</v>
      </c>
      <c r="G41" s="12">
        <v>0.38519999999999999</v>
      </c>
      <c r="H41" s="12">
        <v>0.29649999999999999</v>
      </c>
      <c r="I41" s="12">
        <v>0.1</v>
      </c>
      <c r="J41" s="12">
        <v>0.5444</v>
      </c>
    </row>
    <row r="42" spans="1:10" x14ac:dyDescent="0.35">
      <c r="A42" t="s">
        <v>136</v>
      </c>
      <c r="B42" t="s">
        <v>137</v>
      </c>
      <c r="C42" t="s">
        <v>63</v>
      </c>
      <c r="D42" t="s">
        <v>64</v>
      </c>
      <c r="E42" s="12">
        <v>0.69059999999999999</v>
      </c>
      <c r="F42" s="12">
        <v>0.26869999999999999</v>
      </c>
      <c r="I42" s="12">
        <v>0.25480000000000003</v>
      </c>
      <c r="J42" s="12">
        <v>0.64239999999999997</v>
      </c>
    </row>
    <row r="43" spans="1:10" x14ac:dyDescent="0.35">
      <c r="A43" t="s">
        <v>138</v>
      </c>
      <c r="B43" t="s">
        <v>137</v>
      </c>
      <c r="C43" t="s">
        <v>63</v>
      </c>
      <c r="D43" t="s">
        <v>64</v>
      </c>
      <c r="E43" s="12">
        <v>0.56440000000000001</v>
      </c>
      <c r="F43" s="12">
        <v>1</v>
      </c>
      <c r="G43" s="12">
        <v>0.45129999999999998</v>
      </c>
      <c r="H43" s="12">
        <v>0.3841</v>
      </c>
      <c r="I43" s="12">
        <v>0.26090000000000002</v>
      </c>
      <c r="J43" s="12">
        <v>0.55649999999999999</v>
      </c>
    </row>
    <row r="44" spans="1:10" x14ac:dyDescent="0.35">
      <c r="A44" t="s">
        <v>139</v>
      </c>
      <c r="B44" t="s">
        <v>68</v>
      </c>
      <c r="C44" t="s">
        <v>63</v>
      </c>
      <c r="D44" t="s">
        <v>64</v>
      </c>
      <c r="H44" s="12">
        <v>0.68</v>
      </c>
      <c r="J44" s="12">
        <v>0.68</v>
      </c>
    </row>
    <row r="45" spans="1:10" x14ac:dyDescent="0.35">
      <c r="A45" t="s">
        <v>140</v>
      </c>
      <c r="B45" t="s">
        <v>141</v>
      </c>
      <c r="C45" t="s">
        <v>86</v>
      </c>
      <c r="D45" t="s">
        <v>64</v>
      </c>
      <c r="H45" s="12">
        <v>0.68789999999999996</v>
      </c>
      <c r="J45" s="12">
        <v>0.68789999999999996</v>
      </c>
    </row>
    <row r="46" spans="1:10" x14ac:dyDescent="0.35">
      <c r="A46" t="s">
        <v>142</v>
      </c>
      <c r="B46" t="s">
        <v>143</v>
      </c>
      <c r="C46" t="s">
        <v>86</v>
      </c>
      <c r="D46" t="s">
        <v>64</v>
      </c>
      <c r="H46" s="12">
        <v>0.58120000000000005</v>
      </c>
      <c r="J46" s="12">
        <v>0.58120000000000005</v>
      </c>
    </row>
    <row r="47" spans="1:10" x14ac:dyDescent="0.35">
      <c r="A47" t="s">
        <v>144</v>
      </c>
      <c r="B47" t="s">
        <v>145</v>
      </c>
      <c r="C47" t="s">
        <v>63</v>
      </c>
      <c r="D47" t="s">
        <v>64</v>
      </c>
      <c r="G47" s="12">
        <v>0.18179999999999999</v>
      </c>
      <c r="J47" s="12">
        <v>0.18179999999999999</v>
      </c>
    </row>
    <row r="48" spans="1:10" x14ac:dyDescent="0.35">
      <c r="A48" t="s">
        <v>146</v>
      </c>
      <c r="B48" t="s">
        <v>147</v>
      </c>
      <c r="C48" t="s">
        <v>63</v>
      </c>
      <c r="D48" t="s">
        <v>109</v>
      </c>
      <c r="E48" s="12">
        <v>7.4399999999999994E-2</v>
      </c>
      <c r="J48" s="12">
        <v>7.4399999999999994E-2</v>
      </c>
    </row>
    <row r="49" spans="1:10" x14ac:dyDescent="0.35">
      <c r="A49" t="s">
        <v>148</v>
      </c>
      <c r="B49" t="s">
        <v>77</v>
      </c>
      <c r="C49" t="s">
        <v>63</v>
      </c>
      <c r="D49" t="s">
        <v>109</v>
      </c>
      <c r="H49" s="12">
        <v>0.24590000000000001</v>
      </c>
      <c r="J49" s="12">
        <v>0.24590000000000001</v>
      </c>
    </row>
    <row r="50" spans="1:10" x14ac:dyDescent="0.35">
      <c r="A50" t="s">
        <v>149</v>
      </c>
      <c r="B50" t="s">
        <v>150</v>
      </c>
      <c r="C50" t="s">
        <v>63</v>
      </c>
      <c r="D50" t="s">
        <v>64</v>
      </c>
      <c r="F50" s="12">
        <v>0.13189999999999999</v>
      </c>
      <c r="H50" s="12">
        <v>0.28260000000000002</v>
      </c>
      <c r="I50" s="12">
        <v>0.3095</v>
      </c>
      <c r="J50" s="12">
        <v>0.20039999999999999</v>
      </c>
    </row>
    <row r="51" spans="1:10" x14ac:dyDescent="0.35">
      <c r="A51" t="s">
        <v>151</v>
      </c>
      <c r="B51" t="s">
        <v>152</v>
      </c>
      <c r="C51" t="s">
        <v>63</v>
      </c>
      <c r="D51" t="s">
        <v>64</v>
      </c>
      <c r="E51" s="12">
        <v>0.2137</v>
      </c>
      <c r="H51" s="12">
        <v>7.4099999999999999E-2</v>
      </c>
      <c r="J51" s="12">
        <v>0.21360000000000001</v>
      </c>
    </row>
    <row r="52" spans="1:10" x14ac:dyDescent="0.35">
      <c r="A52" t="s">
        <v>153</v>
      </c>
      <c r="B52" t="s">
        <v>77</v>
      </c>
      <c r="C52" t="s">
        <v>86</v>
      </c>
      <c r="D52" t="s">
        <v>64</v>
      </c>
      <c r="H52" s="12">
        <v>0.49270000000000003</v>
      </c>
      <c r="J52" s="12">
        <v>0.49270000000000003</v>
      </c>
    </row>
    <row r="53" spans="1:10" x14ac:dyDescent="0.35">
      <c r="A53" t="s">
        <v>154</v>
      </c>
      <c r="B53" t="s">
        <v>155</v>
      </c>
      <c r="C53" t="s">
        <v>63</v>
      </c>
      <c r="D53" t="s">
        <v>64</v>
      </c>
      <c r="H53" s="12">
        <v>9.1300000000000006E-2</v>
      </c>
      <c r="J53" s="12">
        <v>9.1300000000000006E-2</v>
      </c>
    </row>
    <row r="54" spans="1:10" x14ac:dyDescent="0.35">
      <c r="A54" t="s">
        <v>156</v>
      </c>
      <c r="B54" t="s">
        <v>77</v>
      </c>
      <c r="D54" t="s">
        <v>64</v>
      </c>
      <c r="J54" s="12" t="e">
        <v>#N/A</v>
      </c>
    </row>
    <row r="55" spans="1:10" x14ac:dyDescent="0.35">
      <c r="A55" t="s">
        <v>157</v>
      </c>
      <c r="B55" t="s">
        <v>68</v>
      </c>
      <c r="C55" t="s">
        <v>63</v>
      </c>
      <c r="D55" t="s">
        <v>64</v>
      </c>
      <c r="H55" s="12">
        <v>0.74970000000000003</v>
      </c>
      <c r="J55" s="12">
        <v>0.74970000000000003</v>
      </c>
    </row>
    <row r="56" spans="1:10" x14ac:dyDescent="0.35">
      <c r="A56" t="s">
        <v>158</v>
      </c>
      <c r="B56" t="s">
        <v>159</v>
      </c>
      <c r="C56" t="s">
        <v>63</v>
      </c>
      <c r="D56" t="s">
        <v>78</v>
      </c>
      <c r="H56" s="12">
        <v>0.2631</v>
      </c>
      <c r="J56" s="12">
        <v>0.2631</v>
      </c>
    </row>
    <row r="57" spans="1:10" x14ac:dyDescent="0.35">
      <c r="A57" t="s">
        <v>160</v>
      </c>
      <c r="B57" t="s">
        <v>77</v>
      </c>
      <c r="C57" t="s">
        <v>63</v>
      </c>
      <c r="D57" t="s">
        <v>64</v>
      </c>
      <c r="H57" s="12">
        <v>8.4900000000000003E-2</v>
      </c>
      <c r="J57" s="12">
        <v>8.4900000000000003E-2</v>
      </c>
    </row>
    <row r="58" spans="1:10" x14ac:dyDescent="0.35">
      <c r="A58" t="s">
        <v>161</v>
      </c>
      <c r="B58" t="s">
        <v>162</v>
      </c>
      <c r="C58" t="s">
        <v>63</v>
      </c>
      <c r="D58" t="s">
        <v>64</v>
      </c>
      <c r="E58" s="12">
        <v>0.39889999999999998</v>
      </c>
      <c r="G58" s="12">
        <v>0.25269999999999998</v>
      </c>
      <c r="J58" s="12">
        <v>0.30769999999999997</v>
      </c>
    </row>
    <row r="59" spans="1:10" x14ac:dyDescent="0.35">
      <c r="A59" t="s">
        <v>163</v>
      </c>
      <c r="B59" t="s">
        <v>164</v>
      </c>
      <c r="C59" t="s">
        <v>63</v>
      </c>
      <c r="D59" t="s">
        <v>64</v>
      </c>
      <c r="H59" s="12">
        <v>0.1759</v>
      </c>
      <c r="J59" s="12">
        <v>0.1759</v>
      </c>
    </row>
    <row r="60" spans="1:10" x14ac:dyDescent="0.35">
      <c r="A60" t="s">
        <v>165</v>
      </c>
      <c r="B60" t="s">
        <v>166</v>
      </c>
      <c r="C60" t="s">
        <v>63</v>
      </c>
      <c r="D60" t="s">
        <v>64</v>
      </c>
      <c r="E60" s="12">
        <v>0.4224</v>
      </c>
      <c r="J60" s="12">
        <v>0.4224</v>
      </c>
    </row>
    <row r="61" spans="1:10" x14ac:dyDescent="0.35">
      <c r="A61" t="s">
        <v>167</v>
      </c>
      <c r="B61" t="s">
        <v>168</v>
      </c>
      <c r="C61" t="s">
        <v>63</v>
      </c>
      <c r="D61" t="s">
        <v>73</v>
      </c>
      <c r="E61" s="12">
        <v>0.30709999999999998</v>
      </c>
      <c r="H61" s="12">
        <v>0.8</v>
      </c>
      <c r="J61" s="12">
        <v>0.3135</v>
      </c>
    </row>
    <row r="62" spans="1:10" x14ac:dyDescent="0.35">
      <c r="A62" t="s">
        <v>169</v>
      </c>
      <c r="B62" t="s">
        <v>170</v>
      </c>
      <c r="C62" t="s">
        <v>86</v>
      </c>
      <c r="D62" t="s">
        <v>78</v>
      </c>
      <c r="E62" s="12">
        <v>0.50819999999999999</v>
      </c>
      <c r="G62" s="12">
        <v>0.151</v>
      </c>
      <c r="H62" s="12">
        <v>0.3</v>
      </c>
      <c r="I62" s="12">
        <v>0</v>
      </c>
      <c r="J62" s="12">
        <v>0.48549999999999999</v>
      </c>
    </row>
    <row r="63" spans="1:10" x14ac:dyDescent="0.35">
      <c r="A63" t="s">
        <v>171</v>
      </c>
      <c r="B63" t="s">
        <v>172</v>
      </c>
      <c r="C63" t="s">
        <v>63</v>
      </c>
      <c r="D63" t="s">
        <v>64</v>
      </c>
      <c r="F63" s="12">
        <v>0.26390000000000002</v>
      </c>
      <c r="I63" s="12">
        <v>0.13420000000000001</v>
      </c>
      <c r="J63" s="12">
        <v>0.1464</v>
      </c>
    </row>
    <row r="64" spans="1:10" x14ac:dyDescent="0.35">
      <c r="A64" t="s">
        <v>173</v>
      </c>
      <c r="B64" t="s">
        <v>174</v>
      </c>
      <c r="C64" t="s">
        <v>63</v>
      </c>
      <c r="D64" t="s">
        <v>64</v>
      </c>
      <c r="H64" s="12">
        <v>0.48149999999999998</v>
      </c>
      <c r="J64" s="12">
        <v>0.48149999999999998</v>
      </c>
    </row>
    <row r="65" spans="1:10" x14ac:dyDescent="0.35">
      <c r="A65" t="s">
        <v>175</v>
      </c>
      <c r="B65" t="s">
        <v>176</v>
      </c>
      <c r="C65" t="s">
        <v>63</v>
      </c>
      <c r="D65" t="s">
        <v>64</v>
      </c>
      <c r="G65" s="12">
        <v>3.9199999999999999E-2</v>
      </c>
      <c r="H65" s="12">
        <v>6.1499999999999999E-2</v>
      </c>
      <c r="J65" s="12">
        <v>4.3900000000000002E-2</v>
      </c>
    </row>
    <row r="66" spans="1:10" x14ac:dyDescent="0.35">
      <c r="A66" t="s">
        <v>177</v>
      </c>
      <c r="B66" t="s">
        <v>178</v>
      </c>
      <c r="C66" t="s">
        <v>63</v>
      </c>
      <c r="D66" t="s">
        <v>64</v>
      </c>
      <c r="F66" s="12">
        <v>0.41599999999999998</v>
      </c>
      <c r="H66" s="12">
        <v>0.14810000000000001</v>
      </c>
      <c r="I66" s="12">
        <v>0.05</v>
      </c>
      <c r="J66" s="12">
        <v>0.29199999999999998</v>
      </c>
    </row>
    <row r="67" spans="1:10" x14ac:dyDescent="0.35">
      <c r="A67" t="s">
        <v>179</v>
      </c>
      <c r="B67" t="s">
        <v>180</v>
      </c>
      <c r="C67" t="s">
        <v>63</v>
      </c>
      <c r="D67" t="s">
        <v>64</v>
      </c>
      <c r="E67" s="12">
        <v>0.4138</v>
      </c>
      <c r="F67" s="12">
        <v>0</v>
      </c>
      <c r="G67" s="12">
        <v>0.15529999999999999</v>
      </c>
      <c r="H67" s="12">
        <v>0.23080000000000001</v>
      </c>
      <c r="I67" s="12">
        <v>0.1386</v>
      </c>
      <c r="J67" s="12">
        <v>0.37859999999999999</v>
      </c>
    </row>
    <row r="68" spans="1:10" x14ac:dyDescent="0.35">
      <c r="A68" t="s">
        <v>181</v>
      </c>
      <c r="B68" t="s">
        <v>182</v>
      </c>
      <c r="C68" t="s">
        <v>86</v>
      </c>
      <c r="D68" t="s">
        <v>64</v>
      </c>
      <c r="H68" s="12">
        <v>0.1792</v>
      </c>
      <c r="J68" s="12">
        <v>0.1792</v>
      </c>
    </row>
    <row r="69" spans="1:10" x14ac:dyDescent="0.35">
      <c r="A69" t="s">
        <v>183</v>
      </c>
      <c r="B69" t="s">
        <v>184</v>
      </c>
      <c r="C69" t="s">
        <v>86</v>
      </c>
      <c r="D69" t="s">
        <v>64</v>
      </c>
      <c r="E69" s="12">
        <v>0.60599999999999998</v>
      </c>
      <c r="G69" s="12">
        <v>0.52880000000000005</v>
      </c>
      <c r="H69" s="12">
        <v>0</v>
      </c>
      <c r="I69" s="12">
        <v>0</v>
      </c>
      <c r="J69" s="12">
        <v>0.59189999999999998</v>
      </c>
    </row>
    <row r="70" spans="1:10" x14ac:dyDescent="0.35">
      <c r="A70" t="s">
        <v>185</v>
      </c>
      <c r="B70" t="s">
        <v>186</v>
      </c>
      <c r="C70" t="s">
        <v>63</v>
      </c>
      <c r="D70" t="s">
        <v>64</v>
      </c>
      <c r="E70" s="12">
        <v>8.6599999999999996E-2</v>
      </c>
      <c r="J70" s="12">
        <v>8.6599999999999996E-2</v>
      </c>
    </row>
    <row r="71" spans="1:10" x14ac:dyDescent="0.35">
      <c r="A71" t="s">
        <v>187</v>
      </c>
      <c r="B71" t="s">
        <v>188</v>
      </c>
      <c r="C71" t="s">
        <v>63</v>
      </c>
      <c r="D71" t="s">
        <v>64</v>
      </c>
      <c r="E71" s="12">
        <v>2.29E-2</v>
      </c>
      <c r="G71" s="12">
        <v>0</v>
      </c>
      <c r="J71" s="12">
        <v>2.2599999999999999E-2</v>
      </c>
    </row>
    <row r="72" spans="1:10" x14ac:dyDescent="0.35">
      <c r="A72" t="s">
        <v>189</v>
      </c>
      <c r="B72" t="s">
        <v>190</v>
      </c>
      <c r="C72" t="s">
        <v>63</v>
      </c>
      <c r="D72" t="s">
        <v>78</v>
      </c>
      <c r="H72" s="12">
        <v>0.74950000000000006</v>
      </c>
      <c r="J72" s="12">
        <v>0.74950000000000006</v>
      </c>
    </row>
    <row r="73" spans="1:10" x14ac:dyDescent="0.35">
      <c r="A73" t="s">
        <v>191</v>
      </c>
      <c r="B73" t="s">
        <v>135</v>
      </c>
      <c r="C73" t="s">
        <v>63</v>
      </c>
      <c r="D73" t="s">
        <v>64</v>
      </c>
      <c r="F73" s="12">
        <v>6.4000000000000003E-3</v>
      </c>
      <c r="J73" s="12">
        <v>6.4000000000000003E-3</v>
      </c>
    </row>
    <row r="74" spans="1:10" x14ac:dyDescent="0.35">
      <c r="A74" t="s">
        <v>192</v>
      </c>
      <c r="B74" t="s">
        <v>193</v>
      </c>
      <c r="C74" t="s">
        <v>63</v>
      </c>
      <c r="D74" t="s">
        <v>78</v>
      </c>
      <c r="G74" s="12">
        <v>4.87E-2</v>
      </c>
      <c r="J74" s="12">
        <v>4.87E-2</v>
      </c>
    </row>
    <row r="75" spans="1:10" x14ac:dyDescent="0.35">
      <c r="A75" t="s">
        <v>194</v>
      </c>
      <c r="B75" t="s">
        <v>135</v>
      </c>
      <c r="C75" t="s">
        <v>63</v>
      </c>
      <c r="D75" t="s">
        <v>64</v>
      </c>
      <c r="F75" s="12">
        <v>0.43359999999999999</v>
      </c>
      <c r="I75" s="12">
        <v>0.38669999999999999</v>
      </c>
      <c r="J75" s="12">
        <v>0.41320000000000001</v>
      </c>
    </row>
    <row r="76" spans="1:10" x14ac:dyDescent="0.35">
      <c r="A76" t="s">
        <v>195</v>
      </c>
      <c r="B76" t="s">
        <v>135</v>
      </c>
      <c r="C76" t="s">
        <v>63</v>
      </c>
      <c r="D76" t="s">
        <v>64</v>
      </c>
      <c r="F76" s="12">
        <v>1.3899999999999999E-2</v>
      </c>
      <c r="J76" s="12">
        <v>1.3899999999999999E-2</v>
      </c>
    </row>
    <row r="77" spans="1:10" x14ac:dyDescent="0.35">
      <c r="A77" t="s">
        <v>196</v>
      </c>
      <c r="B77" t="s">
        <v>197</v>
      </c>
      <c r="C77" t="s">
        <v>63</v>
      </c>
      <c r="D77" t="s">
        <v>64</v>
      </c>
      <c r="F77" s="12">
        <v>0</v>
      </c>
      <c r="I77" s="12">
        <v>0.3831</v>
      </c>
      <c r="J77" s="12">
        <v>0.38159999999999999</v>
      </c>
    </row>
    <row r="78" spans="1:10" x14ac:dyDescent="0.35">
      <c r="A78" t="s">
        <v>198</v>
      </c>
      <c r="B78" t="s">
        <v>199</v>
      </c>
      <c r="C78" t="s">
        <v>63</v>
      </c>
      <c r="D78" t="s">
        <v>64</v>
      </c>
      <c r="H78" s="12">
        <v>0.1449</v>
      </c>
      <c r="J78" s="12">
        <v>0.1449</v>
      </c>
    </row>
    <row r="79" spans="1:10" x14ac:dyDescent="0.35">
      <c r="A79" t="s">
        <v>200</v>
      </c>
      <c r="B79" t="s">
        <v>201</v>
      </c>
      <c r="C79" t="s">
        <v>63</v>
      </c>
      <c r="D79" t="s">
        <v>64</v>
      </c>
      <c r="H79" s="12">
        <v>0.44540000000000002</v>
      </c>
      <c r="J79" s="12">
        <v>0.44540000000000002</v>
      </c>
    </row>
    <row r="80" spans="1:10" x14ac:dyDescent="0.35">
      <c r="A80" t="s">
        <v>202</v>
      </c>
      <c r="B80" t="s">
        <v>203</v>
      </c>
      <c r="C80" t="s">
        <v>63</v>
      </c>
      <c r="D80" t="s">
        <v>64</v>
      </c>
      <c r="I80" s="12">
        <v>0.58560000000000001</v>
      </c>
      <c r="J80" s="12">
        <v>0.58560000000000001</v>
      </c>
    </row>
    <row r="81" spans="1:10" x14ac:dyDescent="0.35">
      <c r="A81" t="s">
        <v>204</v>
      </c>
      <c r="B81" t="s">
        <v>75</v>
      </c>
      <c r="C81" t="s">
        <v>86</v>
      </c>
      <c r="D81" t="s">
        <v>64</v>
      </c>
      <c r="H81" s="12">
        <v>0.47570000000000001</v>
      </c>
      <c r="J81" s="12">
        <v>0.47570000000000001</v>
      </c>
    </row>
    <row r="82" spans="1:10" x14ac:dyDescent="0.35">
      <c r="A82" t="s">
        <v>205</v>
      </c>
      <c r="B82" t="s">
        <v>77</v>
      </c>
      <c r="C82" t="s">
        <v>63</v>
      </c>
      <c r="D82" t="s">
        <v>109</v>
      </c>
      <c r="H82" s="12">
        <v>0.28100000000000003</v>
      </c>
      <c r="J82" s="12">
        <v>0.28100000000000003</v>
      </c>
    </row>
    <row r="83" spans="1:10" x14ac:dyDescent="0.35">
      <c r="A83" t="s">
        <v>206</v>
      </c>
      <c r="B83" t="s">
        <v>77</v>
      </c>
      <c r="C83" t="s">
        <v>63</v>
      </c>
      <c r="D83" t="s">
        <v>64</v>
      </c>
      <c r="H83" s="12">
        <v>0.38690000000000002</v>
      </c>
      <c r="J83" s="12">
        <v>0.38690000000000002</v>
      </c>
    </row>
    <row r="84" spans="1:10" x14ac:dyDescent="0.35">
      <c r="A84" t="s">
        <v>207</v>
      </c>
      <c r="B84" t="s">
        <v>77</v>
      </c>
      <c r="C84" t="s">
        <v>63</v>
      </c>
      <c r="D84" t="s">
        <v>64</v>
      </c>
      <c r="H84" s="12">
        <v>0.8629</v>
      </c>
      <c r="J84" s="12">
        <v>0.8629</v>
      </c>
    </row>
    <row r="85" spans="1:10" x14ac:dyDescent="0.35">
      <c r="A85" t="s">
        <v>208</v>
      </c>
      <c r="B85" t="s">
        <v>209</v>
      </c>
      <c r="C85" t="s">
        <v>63</v>
      </c>
      <c r="D85" t="s">
        <v>78</v>
      </c>
      <c r="H85" s="12">
        <v>0</v>
      </c>
      <c r="J85" s="12">
        <v>0</v>
      </c>
    </row>
    <row r="86" spans="1:10" x14ac:dyDescent="0.35">
      <c r="A86" t="s">
        <v>210</v>
      </c>
      <c r="B86" t="s">
        <v>77</v>
      </c>
      <c r="C86" t="s">
        <v>63</v>
      </c>
      <c r="D86" t="s">
        <v>64</v>
      </c>
      <c r="H86" s="12">
        <v>0.40670000000000001</v>
      </c>
      <c r="J86" s="12">
        <v>0.40670000000000001</v>
      </c>
    </row>
    <row r="87" spans="1:10" x14ac:dyDescent="0.35">
      <c r="A87" t="s">
        <v>211</v>
      </c>
      <c r="B87" t="s">
        <v>212</v>
      </c>
      <c r="C87" t="s">
        <v>63</v>
      </c>
      <c r="D87" t="s">
        <v>64</v>
      </c>
      <c r="E87" s="12">
        <v>0.53380000000000005</v>
      </c>
      <c r="I87" s="12">
        <v>0.4244</v>
      </c>
      <c r="J87" s="12">
        <v>0.47439999999999999</v>
      </c>
    </row>
    <row r="88" spans="1:10" x14ac:dyDescent="0.35">
      <c r="A88" t="s">
        <v>213</v>
      </c>
      <c r="B88" t="s">
        <v>214</v>
      </c>
      <c r="C88" t="s">
        <v>63</v>
      </c>
      <c r="D88" t="s">
        <v>64</v>
      </c>
      <c r="E88" s="12">
        <v>0.497</v>
      </c>
      <c r="J88" s="12">
        <v>0.497</v>
      </c>
    </row>
    <row r="89" spans="1:10" x14ac:dyDescent="0.35">
      <c r="A89" t="s">
        <v>215</v>
      </c>
      <c r="B89" t="s">
        <v>216</v>
      </c>
      <c r="C89" t="s">
        <v>63</v>
      </c>
      <c r="D89" t="s">
        <v>64</v>
      </c>
      <c r="F89" s="12">
        <v>0.21540000000000001</v>
      </c>
      <c r="J89" s="12">
        <v>0.21540000000000001</v>
      </c>
    </row>
    <row r="90" spans="1:10" x14ac:dyDescent="0.35">
      <c r="A90" t="s">
        <v>217</v>
      </c>
      <c r="B90" t="s">
        <v>216</v>
      </c>
      <c r="C90" t="s">
        <v>63</v>
      </c>
      <c r="D90" t="s">
        <v>64</v>
      </c>
      <c r="F90" s="12">
        <v>0.1696</v>
      </c>
      <c r="I90" s="12">
        <v>0.1444</v>
      </c>
      <c r="J90" s="12">
        <v>0.15329999999999999</v>
      </c>
    </row>
    <row r="91" spans="1:10" x14ac:dyDescent="0.35">
      <c r="A91" t="s">
        <v>218</v>
      </c>
      <c r="B91" t="s">
        <v>219</v>
      </c>
      <c r="C91" t="s">
        <v>63</v>
      </c>
      <c r="D91" t="s">
        <v>64</v>
      </c>
      <c r="H91" s="12">
        <v>0.55500000000000005</v>
      </c>
      <c r="J91" s="12">
        <v>0.55500000000000005</v>
      </c>
    </row>
    <row r="92" spans="1:10" x14ac:dyDescent="0.35">
      <c r="A92" t="s">
        <v>220</v>
      </c>
      <c r="B92" t="s">
        <v>91</v>
      </c>
      <c r="C92" t="s">
        <v>63</v>
      </c>
      <c r="D92" t="s">
        <v>64</v>
      </c>
      <c r="H92" s="12">
        <v>0.1111</v>
      </c>
      <c r="J92" s="12">
        <v>0.1111</v>
      </c>
    </row>
    <row r="93" spans="1:10" x14ac:dyDescent="0.35">
      <c r="A93" t="s">
        <v>221</v>
      </c>
      <c r="B93" t="s">
        <v>222</v>
      </c>
      <c r="C93" t="s">
        <v>63</v>
      </c>
      <c r="D93" t="s">
        <v>64</v>
      </c>
      <c r="F93" s="12">
        <v>0.38100000000000001</v>
      </c>
      <c r="H93" s="12">
        <v>0.36109999999999998</v>
      </c>
      <c r="I93" s="12">
        <v>0.44469999999999998</v>
      </c>
      <c r="J93" s="12">
        <v>0.43690000000000001</v>
      </c>
    </row>
    <row r="94" spans="1:10" x14ac:dyDescent="0.35">
      <c r="A94" t="s">
        <v>223</v>
      </c>
      <c r="B94" t="s">
        <v>224</v>
      </c>
      <c r="C94" t="s">
        <v>63</v>
      </c>
      <c r="D94" t="s">
        <v>64</v>
      </c>
      <c r="H94" s="12">
        <v>0.1943</v>
      </c>
      <c r="J94" s="12">
        <v>0.1943</v>
      </c>
    </row>
    <row r="95" spans="1:10" x14ac:dyDescent="0.35">
      <c r="A95" t="s">
        <v>225</v>
      </c>
      <c r="B95" t="s">
        <v>77</v>
      </c>
      <c r="C95" t="s">
        <v>63</v>
      </c>
      <c r="D95" t="s">
        <v>64</v>
      </c>
      <c r="I95" s="12">
        <v>0</v>
      </c>
      <c r="J95" s="12">
        <v>0</v>
      </c>
    </row>
    <row r="96" spans="1:10" x14ac:dyDescent="0.35">
      <c r="A96" t="s">
        <v>226</v>
      </c>
      <c r="B96" t="s">
        <v>135</v>
      </c>
      <c r="C96" t="s">
        <v>63</v>
      </c>
      <c r="D96" t="s">
        <v>64</v>
      </c>
      <c r="F96" s="12">
        <v>0.45650000000000002</v>
      </c>
      <c r="I96" s="12">
        <v>0.60429999999999995</v>
      </c>
      <c r="J96" s="12">
        <v>0.59309999999999996</v>
      </c>
    </row>
    <row r="97" spans="1:10" x14ac:dyDescent="0.35">
      <c r="A97" t="s">
        <v>227</v>
      </c>
      <c r="B97" t="s">
        <v>228</v>
      </c>
      <c r="C97" t="s">
        <v>63</v>
      </c>
      <c r="D97" t="s">
        <v>64</v>
      </c>
      <c r="F97" s="12">
        <v>0.20100000000000001</v>
      </c>
      <c r="I97" s="12">
        <v>0.28499999999999998</v>
      </c>
      <c r="J97" s="12">
        <v>0.26019999999999999</v>
      </c>
    </row>
    <row r="98" spans="1:10" x14ac:dyDescent="0.35">
      <c r="A98" t="s">
        <v>229</v>
      </c>
      <c r="B98" t="s">
        <v>230</v>
      </c>
      <c r="C98" t="s">
        <v>86</v>
      </c>
      <c r="D98" t="s">
        <v>64</v>
      </c>
      <c r="H98" s="12">
        <v>0.28499999999999998</v>
      </c>
      <c r="J98" s="12">
        <v>0.28499999999999998</v>
      </c>
    </row>
    <row r="99" spans="1:10" x14ac:dyDescent="0.35">
      <c r="A99" t="s">
        <v>231</v>
      </c>
      <c r="B99" t="s">
        <v>135</v>
      </c>
      <c r="C99" t="s">
        <v>63</v>
      </c>
      <c r="D99" t="s">
        <v>64</v>
      </c>
      <c r="I99" s="12">
        <v>0.34899999999999998</v>
      </c>
      <c r="J99" s="12">
        <v>0.34899999999999998</v>
      </c>
    </row>
    <row r="100" spans="1:10" x14ac:dyDescent="0.35">
      <c r="A100" t="s">
        <v>232</v>
      </c>
      <c r="B100" t="s">
        <v>233</v>
      </c>
      <c r="C100" t="s">
        <v>63</v>
      </c>
      <c r="D100" t="s">
        <v>64</v>
      </c>
      <c r="H100" s="12">
        <v>8.7900000000000006E-2</v>
      </c>
      <c r="J100" s="12">
        <v>8.7900000000000006E-2</v>
      </c>
    </row>
    <row r="101" spans="1:10" x14ac:dyDescent="0.35">
      <c r="A101" t="s">
        <v>234</v>
      </c>
      <c r="B101" t="s">
        <v>93</v>
      </c>
      <c r="C101" t="s">
        <v>63</v>
      </c>
      <c r="D101" t="s">
        <v>64</v>
      </c>
      <c r="H101" s="12">
        <v>0.25609999999999999</v>
      </c>
      <c r="J101" s="12">
        <v>0.25609999999999999</v>
      </c>
    </row>
    <row r="102" spans="1:10" x14ac:dyDescent="0.35">
      <c r="A102" t="s">
        <v>235</v>
      </c>
      <c r="B102" t="s">
        <v>236</v>
      </c>
      <c r="C102" t="s">
        <v>63</v>
      </c>
      <c r="D102" t="s">
        <v>237</v>
      </c>
      <c r="E102" s="12">
        <v>0.3629</v>
      </c>
      <c r="J102" s="12">
        <v>0.3629</v>
      </c>
    </row>
    <row r="103" spans="1:10" x14ac:dyDescent="0.35">
      <c r="A103" t="s">
        <v>238</v>
      </c>
      <c r="B103" t="s">
        <v>77</v>
      </c>
      <c r="C103" t="s">
        <v>63</v>
      </c>
      <c r="D103" t="s">
        <v>64</v>
      </c>
      <c r="H103" s="12">
        <v>0.80969999999999998</v>
      </c>
      <c r="J103" s="12">
        <v>0.80969999999999998</v>
      </c>
    </row>
    <row r="104" spans="1:10" x14ac:dyDescent="0.35">
      <c r="A104" t="s">
        <v>239</v>
      </c>
      <c r="B104" t="s">
        <v>240</v>
      </c>
      <c r="C104" t="s">
        <v>63</v>
      </c>
      <c r="D104" t="s">
        <v>64</v>
      </c>
      <c r="H104" s="12">
        <v>0.38080000000000003</v>
      </c>
      <c r="J104" s="12">
        <v>0.38080000000000003</v>
      </c>
    </row>
    <row r="105" spans="1:10" x14ac:dyDescent="0.35">
      <c r="A105" t="s">
        <v>241</v>
      </c>
      <c r="B105" t="s">
        <v>242</v>
      </c>
      <c r="C105" t="s">
        <v>63</v>
      </c>
      <c r="D105" t="s">
        <v>64</v>
      </c>
      <c r="H105" s="12">
        <v>0.31909999999999999</v>
      </c>
      <c r="J105" s="12">
        <v>0.31909999999999999</v>
      </c>
    </row>
    <row r="106" spans="1:10" x14ac:dyDescent="0.35">
      <c r="A106" t="s">
        <v>243</v>
      </c>
      <c r="B106" t="s">
        <v>244</v>
      </c>
      <c r="C106" t="s">
        <v>63</v>
      </c>
      <c r="D106" t="s">
        <v>64</v>
      </c>
      <c r="E106" s="12">
        <v>0.64429999999999998</v>
      </c>
      <c r="F106" s="12">
        <v>4.6199999999999998E-2</v>
      </c>
      <c r="G106" s="12">
        <v>0.25219999999999998</v>
      </c>
      <c r="H106" s="12">
        <v>0.18440000000000001</v>
      </c>
      <c r="I106" s="12">
        <v>0.14410000000000001</v>
      </c>
      <c r="J106" s="12">
        <v>0.61060000000000003</v>
      </c>
    </row>
    <row r="107" spans="1:10" x14ac:dyDescent="0.35">
      <c r="A107" t="s">
        <v>245</v>
      </c>
      <c r="B107" t="s">
        <v>68</v>
      </c>
      <c r="C107" t="s">
        <v>63</v>
      </c>
      <c r="D107" t="s">
        <v>64</v>
      </c>
      <c r="H107" s="12">
        <v>0.54120000000000001</v>
      </c>
      <c r="J107" s="12">
        <v>0.54120000000000001</v>
      </c>
    </row>
    <row r="108" spans="1:10" x14ac:dyDescent="0.35">
      <c r="A108" t="s">
        <v>246</v>
      </c>
      <c r="B108" t="s">
        <v>247</v>
      </c>
      <c r="C108" t="s">
        <v>63</v>
      </c>
      <c r="D108" t="s">
        <v>64</v>
      </c>
      <c r="E108" s="12">
        <v>0.1933</v>
      </c>
      <c r="J108" s="12">
        <v>0.1933</v>
      </c>
    </row>
    <row r="109" spans="1:10" x14ac:dyDescent="0.35">
      <c r="A109" t="s">
        <v>248</v>
      </c>
      <c r="B109" t="s">
        <v>68</v>
      </c>
      <c r="C109" t="s">
        <v>63</v>
      </c>
      <c r="D109" t="s">
        <v>64</v>
      </c>
      <c r="H109" s="12">
        <v>0.51549999999999996</v>
      </c>
      <c r="J109" s="12">
        <v>0.51549999999999996</v>
      </c>
    </row>
    <row r="110" spans="1:10" x14ac:dyDescent="0.35">
      <c r="A110" t="s">
        <v>249</v>
      </c>
      <c r="B110" t="s">
        <v>250</v>
      </c>
      <c r="C110" t="s">
        <v>63</v>
      </c>
      <c r="D110" t="s">
        <v>64</v>
      </c>
      <c r="H110" s="12">
        <v>0.36059999999999998</v>
      </c>
      <c r="J110" s="12">
        <v>0.36059999999999998</v>
      </c>
    </row>
    <row r="111" spans="1:10" x14ac:dyDescent="0.35">
      <c r="A111" t="s">
        <v>251</v>
      </c>
      <c r="B111" t="s">
        <v>129</v>
      </c>
      <c r="C111" t="s">
        <v>63</v>
      </c>
      <c r="D111" t="s">
        <v>64</v>
      </c>
      <c r="H111" s="12">
        <v>0.2586</v>
      </c>
      <c r="J111" s="12">
        <v>0.2586</v>
      </c>
    </row>
    <row r="112" spans="1:10" x14ac:dyDescent="0.35">
      <c r="A112" t="s">
        <v>252</v>
      </c>
      <c r="B112" t="s">
        <v>77</v>
      </c>
      <c r="C112" t="s">
        <v>63</v>
      </c>
      <c r="D112" t="s">
        <v>64</v>
      </c>
      <c r="I112" s="12">
        <v>6.5600000000000006E-2</v>
      </c>
      <c r="J112" s="12">
        <v>6.5600000000000006E-2</v>
      </c>
    </row>
    <row r="113" spans="1:10" x14ac:dyDescent="0.35">
      <c r="A113" t="s">
        <v>253</v>
      </c>
      <c r="B113" t="s">
        <v>254</v>
      </c>
      <c r="C113" t="s">
        <v>63</v>
      </c>
      <c r="D113" t="s">
        <v>64</v>
      </c>
      <c r="F113" s="12">
        <v>8.7300000000000003E-2</v>
      </c>
      <c r="I113" s="12">
        <v>0.27160000000000001</v>
      </c>
      <c r="J113" s="12">
        <v>0.25519999999999998</v>
      </c>
    </row>
    <row r="114" spans="1:10" x14ac:dyDescent="0.35">
      <c r="A114" t="s">
        <v>255</v>
      </c>
      <c r="B114" t="s">
        <v>256</v>
      </c>
      <c r="C114" t="s">
        <v>63</v>
      </c>
      <c r="D114" t="s">
        <v>64</v>
      </c>
      <c r="E114" s="12">
        <v>0.34150000000000003</v>
      </c>
      <c r="J114" s="12">
        <v>0.34150000000000003</v>
      </c>
    </row>
    <row r="115" spans="1:10" x14ac:dyDescent="0.35">
      <c r="A115" t="s">
        <v>257</v>
      </c>
      <c r="B115" t="s">
        <v>256</v>
      </c>
      <c r="C115" t="s">
        <v>63</v>
      </c>
      <c r="D115" t="s">
        <v>64</v>
      </c>
      <c r="F115" s="12">
        <v>0.12230000000000001</v>
      </c>
      <c r="I115" s="12">
        <v>0.34549999999999997</v>
      </c>
      <c r="J115" s="12">
        <v>0.29039999999999999</v>
      </c>
    </row>
    <row r="116" spans="1:10" x14ac:dyDescent="0.35">
      <c r="A116" t="s">
        <v>258</v>
      </c>
      <c r="B116" t="s">
        <v>259</v>
      </c>
      <c r="C116" t="s">
        <v>63</v>
      </c>
      <c r="D116" t="s">
        <v>64</v>
      </c>
      <c r="F116" s="12">
        <v>9.0200000000000002E-2</v>
      </c>
      <c r="J116" s="12">
        <v>9.0200000000000002E-2</v>
      </c>
    </row>
    <row r="117" spans="1:10" x14ac:dyDescent="0.35">
      <c r="A117" t="s">
        <v>260</v>
      </c>
      <c r="B117" t="s">
        <v>77</v>
      </c>
      <c r="C117" t="s">
        <v>63</v>
      </c>
      <c r="D117" t="s">
        <v>64</v>
      </c>
      <c r="G117" s="12">
        <v>0.27789999999999998</v>
      </c>
      <c r="J117" s="12">
        <v>0.27789999999999998</v>
      </c>
    </row>
    <row r="118" spans="1:10" x14ac:dyDescent="0.35">
      <c r="A118" t="s">
        <v>261</v>
      </c>
      <c r="B118" t="s">
        <v>77</v>
      </c>
      <c r="C118" t="s">
        <v>63</v>
      </c>
      <c r="D118" t="s">
        <v>64</v>
      </c>
      <c r="E118" s="12">
        <v>0</v>
      </c>
      <c r="J118" s="12">
        <v>0</v>
      </c>
    </row>
    <row r="119" spans="1:10" x14ac:dyDescent="0.35">
      <c r="A119" t="s">
        <v>262</v>
      </c>
      <c r="B119" t="s">
        <v>263</v>
      </c>
      <c r="C119" t="s">
        <v>63</v>
      </c>
      <c r="D119" t="s">
        <v>64</v>
      </c>
      <c r="H119" s="12">
        <v>0.1429</v>
      </c>
      <c r="J119" s="12">
        <v>0.1429</v>
      </c>
    </row>
    <row r="120" spans="1:10" x14ac:dyDescent="0.35">
      <c r="A120" t="s">
        <v>264</v>
      </c>
      <c r="B120" t="s">
        <v>265</v>
      </c>
      <c r="C120" t="s">
        <v>63</v>
      </c>
      <c r="D120" t="s">
        <v>64</v>
      </c>
      <c r="E120" s="12">
        <v>0.66090000000000004</v>
      </c>
      <c r="G120" s="12">
        <v>0.47099999999999997</v>
      </c>
      <c r="J120" s="12">
        <v>0.59560000000000002</v>
      </c>
    </row>
    <row r="121" spans="1:10" x14ac:dyDescent="0.35">
      <c r="A121" t="s">
        <v>266</v>
      </c>
      <c r="B121" t="s">
        <v>267</v>
      </c>
      <c r="C121" t="s">
        <v>63</v>
      </c>
      <c r="D121" t="s">
        <v>64</v>
      </c>
      <c r="F121" s="12">
        <v>0.14879999999999999</v>
      </c>
      <c r="H121" s="12">
        <v>0.44479999999999997</v>
      </c>
      <c r="J121" s="12">
        <v>0.34449999999999997</v>
      </c>
    </row>
    <row r="122" spans="1:10" x14ac:dyDescent="0.35">
      <c r="A122" t="s">
        <v>268</v>
      </c>
      <c r="B122" t="s">
        <v>77</v>
      </c>
      <c r="C122" t="s">
        <v>63</v>
      </c>
      <c r="D122" t="s">
        <v>64</v>
      </c>
      <c r="H122" s="12">
        <v>0.1686</v>
      </c>
      <c r="J122" s="12">
        <v>0.1686</v>
      </c>
    </row>
    <row r="123" spans="1:10" x14ac:dyDescent="0.35">
      <c r="A123" t="s">
        <v>269</v>
      </c>
      <c r="B123" t="s">
        <v>270</v>
      </c>
      <c r="C123" t="s">
        <v>63</v>
      </c>
      <c r="D123" t="s">
        <v>64</v>
      </c>
      <c r="J123" s="12" t="e">
        <v>#N/A</v>
      </c>
    </row>
    <row r="124" spans="1:10" x14ac:dyDescent="0.35">
      <c r="A124" t="s">
        <v>271</v>
      </c>
      <c r="B124" t="s">
        <v>272</v>
      </c>
      <c r="C124" t="s">
        <v>63</v>
      </c>
      <c r="D124" t="s">
        <v>64</v>
      </c>
      <c r="F124" s="12">
        <v>0.52580000000000005</v>
      </c>
      <c r="H124" s="12">
        <v>0.59109999999999996</v>
      </c>
      <c r="I124" s="12">
        <v>0.45350000000000001</v>
      </c>
      <c r="J124" s="12">
        <v>0.56320000000000003</v>
      </c>
    </row>
    <row r="125" spans="1:10" x14ac:dyDescent="0.35">
      <c r="A125" t="s">
        <v>273</v>
      </c>
      <c r="B125" t="s">
        <v>93</v>
      </c>
      <c r="C125" t="s">
        <v>63</v>
      </c>
      <c r="D125" t="s">
        <v>64</v>
      </c>
      <c r="H125" s="12">
        <v>0.36109999999999998</v>
      </c>
      <c r="J125" s="12">
        <v>0.36109999999999998</v>
      </c>
    </row>
    <row r="126" spans="1:10" x14ac:dyDescent="0.35">
      <c r="A126" t="s">
        <v>274</v>
      </c>
      <c r="B126" t="s">
        <v>135</v>
      </c>
      <c r="C126" t="s">
        <v>63</v>
      </c>
      <c r="D126" t="s">
        <v>64</v>
      </c>
      <c r="H126" s="12">
        <v>0.2586</v>
      </c>
      <c r="J126" s="12">
        <v>0.2586</v>
      </c>
    </row>
    <row r="127" spans="1:10" x14ac:dyDescent="0.35">
      <c r="A127" t="s">
        <v>275</v>
      </c>
      <c r="B127" t="s">
        <v>135</v>
      </c>
      <c r="C127" t="s">
        <v>63</v>
      </c>
      <c r="D127" t="s">
        <v>64</v>
      </c>
      <c r="E127" s="12">
        <v>0.54930000000000001</v>
      </c>
      <c r="F127" s="12">
        <v>4.3499999999999997E-2</v>
      </c>
      <c r="G127" s="12">
        <v>0.34599999999999997</v>
      </c>
      <c r="H127" s="12">
        <v>0.3049</v>
      </c>
      <c r="I127" s="12">
        <v>0.2581</v>
      </c>
      <c r="J127" s="12">
        <v>0.54210000000000003</v>
      </c>
    </row>
    <row r="128" spans="1:10" x14ac:dyDescent="0.35">
      <c r="A128" t="s">
        <v>276</v>
      </c>
      <c r="B128" t="s">
        <v>77</v>
      </c>
      <c r="C128" t="s">
        <v>63</v>
      </c>
      <c r="D128" t="s">
        <v>64</v>
      </c>
      <c r="G128" s="12">
        <v>0.18179999999999999</v>
      </c>
      <c r="H128" s="12">
        <v>0.13039999999999999</v>
      </c>
      <c r="J128" s="12">
        <v>0.1782</v>
      </c>
    </row>
    <row r="129" spans="1:10" x14ac:dyDescent="0.35">
      <c r="A129" t="s">
        <v>277</v>
      </c>
      <c r="B129" t="s">
        <v>278</v>
      </c>
      <c r="C129" t="s">
        <v>63</v>
      </c>
      <c r="D129" t="s">
        <v>64</v>
      </c>
      <c r="I129" s="12">
        <v>0.33550000000000002</v>
      </c>
      <c r="J129" s="12">
        <v>0.33550000000000002</v>
      </c>
    </row>
    <row r="130" spans="1:10" x14ac:dyDescent="0.35">
      <c r="A130" t="s">
        <v>279</v>
      </c>
      <c r="B130" t="s">
        <v>77</v>
      </c>
      <c r="C130" t="s">
        <v>63</v>
      </c>
      <c r="D130" t="s">
        <v>78</v>
      </c>
      <c r="H130" s="12">
        <v>6.5299999999999997E-2</v>
      </c>
      <c r="J130" s="12">
        <v>6.5299999999999997E-2</v>
      </c>
    </row>
    <row r="131" spans="1:10" x14ac:dyDescent="0.35">
      <c r="A131" t="s">
        <v>280</v>
      </c>
      <c r="B131" t="s">
        <v>244</v>
      </c>
      <c r="C131" t="s">
        <v>63</v>
      </c>
      <c r="D131" t="s">
        <v>64</v>
      </c>
      <c r="E131" s="12">
        <v>0.84889999999999999</v>
      </c>
      <c r="H131" s="12">
        <v>0.66</v>
      </c>
      <c r="J131" s="12">
        <v>0.84530000000000005</v>
      </c>
    </row>
    <row r="132" spans="1:10" x14ac:dyDescent="0.35">
      <c r="A132" t="s">
        <v>281</v>
      </c>
      <c r="B132" t="s">
        <v>77</v>
      </c>
      <c r="C132" t="s">
        <v>86</v>
      </c>
      <c r="D132" t="s">
        <v>64</v>
      </c>
      <c r="H132" s="12">
        <v>0.16289999999999999</v>
      </c>
      <c r="J132" s="12">
        <v>0.16289999999999999</v>
      </c>
    </row>
    <row r="133" spans="1:10" x14ac:dyDescent="0.35">
      <c r="A133" t="s">
        <v>282</v>
      </c>
      <c r="B133" t="s">
        <v>135</v>
      </c>
      <c r="C133" t="s">
        <v>63</v>
      </c>
      <c r="D133" t="s">
        <v>64</v>
      </c>
      <c r="E133" s="12">
        <v>0.6099</v>
      </c>
      <c r="H133" s="12">
        <v>9.0899999999999995E-2</v>
      </c>
      <c r="J133" s="12">
        <v>0.60860000000000003</v>
      </c>
    </row>
    <row r="134" spans="1:10" x14ac:dyDescent="0.35">
      <c r="A134" t="s">
        <v>283</v>
      </c>
      <c r="B134" t="s">
        <v>284</v>
      </c>
      <c r="C134" t="s">
        <v>63</v>
      </c>
      <c r="D134" t="s">
        <v>64</v>
      </c>
      <c r="H134" s="12">
        <v>7.0499999999999993E-2</v>
      </c>
      <c r="J134" s="12">
        <v>7.0499999999999993E-2</v>
      </c>
    </row>
    <row r="135" spans="1:10" x14ac:dyDescent="0.35">
      <c r="A135" t="s">
        <v>285</v>
      </c>
      <c r="B135" t="s">
        <v>77</v>
      </c>
      <c r="C135" t="s">
        <v>63</v>
      </c>
      <c r="D135" t="s">
        <v>64</v>
      </c>
      <c r="E135" s="12">
        <v>0.4219</v>
      </c>
      <c r="G135" s="12">
        <v>0.42070000000000002</v>
      </c>
      <c r="J135" s="12">
        <v>0.42180000000000001</v>
      </c>
    </row>
    <row r="136" spans="1:10" x14ac:dyDescent="0.35">
      <c r="A136" t="s">
        <v>286</v>
      </c>
      <c r="B136" t="s">
        <v>287</v>
      </c>
      <c r="C136" t="s">
        <v>63</v>
      </c>
      <c r="D136" t="s">
        <v>64</v>
      </c>
      <c r="H136" s="12">
        <v>0.26500000000000001</v>
      </c>
      <c r="J136" s="12">
        <v>0.26500000000000001</v>
      </c>
    </row>
    <row r="137" spans="1:10" x14ac:dyDescent="0.35">
      <c r="A137" t="s">
        <v>288</v>
      </c>
      <c r="B137" t="s">
        <v>289</v>
      </c>
      <c r="C137" t="s">
        <v>63</v>
      </c>
      <c r="D137" t="s">
        <v>78</v>
      </c>
      <c r="E137" s="12">
        <v>9.1600000000000001E-2</v>
      </c>
      <c r="F137" s="12">
        <v>2.1700000000000001E-2</v>
      </c>
      <c r="H137" s="12">
        <v>0.15790000000000001</v>
      </c>
      <c r="I137" s="12">
        <v>6.1600000000000002E-2</v>
      </c>
      <c r="J137" s="12">
        <v>9.1499999999999998E-2</v>
      </c>
    </row>
    <row r="138" spans="1:10" x14ac:dyDescent="0.35">
      <c r="A138" t="s">
        <v>290</v>
      </c>
      <c r="B138" t="s">
        <v>91</v>
      </c>
      <c r="C138" t="s">
        <v>63</v>
      </c>
      <c r="D138" t="s">
        <v>64</v>
      </c>
      <c r="H138" s="12">
        <v>5.5599999999999997E-2</v>
      </c>
      <c r="J138" s="12">
        <v>5.5599999999999997E-2</v>
      </c>
    </row>
    <row r="139" spans="1:10" x14ac:dyDescent="0.35">
      <c r="A139" t="s">
        <v>291</v>
      </c>
      <c r="B139" t="s">
        <v>199</v>
      </c>
      <c r="C139" t="s">
        <v>63</v>
      </c>
      <c r="D139" t="s">
        <v>64</v>
      </c>
      <c r="H139" s="12">
        <v>0.65280000000000005</v>
      </c>
      <c r="J139" s="12">
        <v>0.65280000000000005</v>
      </c>
    </row>
    <row r="140" spans="1:10" x14ac:dyDescent="0.35">
      <c r="A140" t="s">
        <v>292</v>
      </c>
      <c r="B140" t="s">
        <v>77</v>
      </c>
      <c r="C140" t="s">
        <v>63</v>
      </c>
      <c r="D140" t="s">
        <v>78</v>
      </c>
      <c r="H140" s="12">
        <v>4.2700000000000002E-2</v>
      </c>
      <c r="J140" s="12">
        <v>4.2700000000000002E-2</v>
      </c>
    </row>
    <row r="141" spans="1:10" x14ac:dyDescent="0.35">
      <c r="A141" t="s">
        <v>293</v>
      </c>
      <c r="B141" t="s">
        <v>180</v>
      </c>
      <c r="C141" t="s">
        <v>63</v>
      </c>
      <c r="D141" t="s">
        <v>64</v>
      </c>
      <c r="E141" s="12">
        <v>0.46329999999999999</v>
      </c>
      <c r="F141" s="12">
        <v>2.2200000000000001E-2</v>
      </c>
      <c r="G141" s="12">
        <v>0.59560000000000002</v>
      </c>
      <c r="H141" s="12">
        <v>9.8799999999999999E-2</v>
      </c>
      <c r="I141" s="12">
        <v>1.52E-2</v>
      </c>
      <c r="J141" s="12">
        <v>0.46970000000000001</v>
      </c>
    </row>
    <row r="142" spans="1:10" x14ac:dyDescent="0.35">
      <c r="A142" t="s">
        <v>294</v>
      </c>
      <c r="B142" t="s">
        <v>170</v>
      </c>
      <c r="C142" t="s">
        <v>63</v>
      </c>
      <c r="D142" t="s">
        <v>78</v>
      </c>
      <c r="E142" s="12">
        <v>0.51270000000000004</v>
      </c>
      <c r="F142" s="12">
        <v>0.33329999999999999</v>
      </c>
      <c r="G142" s="12">
        <v>0.31240000000000001</v>
      </c>
      <c r="H142" s="12">
        <v>0.34289999999999998</v>
      </c>
      <c r="I142" s="12">
        <v>0.10199999999999999</v>
      </c>
      <c r="J142" s="12">
        <v>0.49680000000000002</v>
      </c>
    </row>
    <row r="143" spans="1:10" x14ac:dyDescent="0.35">
      <c r="A143" t="s">
        <v>295</v>
      </c>
      <c r="B143" t="s">
        <v>77</v>
      </c>
      <c r="C143" t="s">
        <v>63</v>
      </c>
      <c r="D143" t="s">
        <v>64</v>
      </c>
      <c r="E143" s="12">
        <v>0.59109999999999996</v>
      </c>
      <c r="G143" s="12">
        <v>0.6986</v>
      </c>
      <c r="I143" s="12">
        <v>1</v>
      </c>
      <c r="J143" s="12">
        <v>0.62839999999999996</v>
      </c>
    </row>
    <row r="144" spans="1:10" x14ac:dyDescent="0.35">
      <c r="A144" t="s">
        <v>296</v>
      </c>
      <c r="B144" t="s">
        <v>297</v>
      </c>
      <c r="C144" t="s">
        <v>63</v>
      </c>
      <c r="D144" t="s">
        <v>64</v>
      </c>
      <c r="E144" s="12">
        <v>0.40179999999999999</v>
      </c>
      <c r="G144" s="12">
        <v>0.19769999999999999</v>
      </c>
      <c r="J144" s="12">
        <v>0.38969999999999999</v>
      </c>
    </row>
    <row r="145" spans="1:10" x14ac:dyDescent="0.35">
      <c r="A145" t="s">
        <v>298</v>
      </c>
      <c r="B145" t="s">
        <v>299</v>
      </c>
      <c r="C145" t="s">
        <v>63</v>
      </c>
      <c r="D145" t="s">
        <v>78</v>
      </c>
      <c r="F145" s="12">
        <v>0.13250000000000001</v>
      </c>
      <c r="I145" s="12">
        <v>0.15379999999999999</v>
      </c>
      <c r="J145" s="12">
        <v>0.1457</v>
      </c>
    </row>
    <row r="146" spans="1:10" x14ac:dyDescent="0.35">
      <c r="A146" t="s">
        <v>300</v>
      </c>
      <c r="B146" t="s">
        <v>77</v>
      </c>
      <c r="C146" t="s">
        <v>63</v>
      </c>
      <c r="D146" t="s">
        <v>64</v>
      </c>
      <c r="H146" s="12">
        <v>0.67569999999999997</v>
      </c>
      <c r="J146" s="12">
        <v>0.67569999999999997</v>
      </c>
    </row>
    <row r="147" spans="1:10" x14ac:dyDescent="0.35">
      <c r="A147" t="s">
        <v>301</v>
      </c>
      <c r="B147" t="s">
        <v>77</v>
      </c>
      <c r="C147" t="s">
        <v>63</v>
      </c>
      <c r="D147" t="s">
        <v>64</v>
      </c>
      <c r="H147" s="12">
        <v>0.86140000000000005</v>
      </c>
      <c r="J147" s="12">
        <v>0.86140000000000005</v>
      </c>
    </row>
    <row r="148" spans="1:10" x14ac:dyDescent="0.35">
      <c r="A148" t="s">
        <v>302</v>
      </c>
      <c r="B148" t="s">
        <v>303</v>
      </c>
      <c r="C148" t="s">
        <v>63</v>
      </c>
      <c r="D148" t="s">
        <v>64</v>
      </c>
      <c r="E148" s="12">
        <v>0.2676</v>
      </c>
      <c r="G148" s="12">
        <v>0.16969999999999999</v>
      </c>
      <c r="J148" s="12">
        <v>0.22620000000000001</v>
      </c>
    </row>
    <row r="149" spans="1:10" x14ac:dyDescent="0.35">
      <c r="A149" t="s">
        <v>304</v>
      </c>
      <c r="B149" t="s">
        <v>305</v>
      </c>
      <c r="C149" t="s">
        <v>63</v>
      </c>
      <c r="D149" t="s">
        <v>64</v>
      </c>
      <c r="H149" s="12">
        <v>6.6799999999999998E-2</v>
      </c>
      <c r="J149" s="12">
        <v>6.6799999999999998E-2</v>
      </c>
    </row>
    <row r="150" spans="1:10" x14ac:dyDescent="0.35">
      <c r="A150" t="s">
        <v>306</v>
      </c>
      <c r="B150" t="s">
        <v>307</v>
      </c>
      <c r="C150" t="s">
        <v>86</v>
      </c>
      <c r="D150" t="s">
        <v>78</v>
      </c>
      <c r="E150" s="12">
        <v>0.25969999999999999</v>
      </c>
      <c r="G150" s="12">
        <v>0.26910000000000001</v>
      </c>
      <c r="J150" s="12">
        <v>0.26200000000000001</v>
      </c>
    </row>
    <row r="151" spans="1:10" x14ac:dyDescent="0.35">
      <c r="A151" t="s">
        <v>308</v>
      </c>
      <c r="B151" t="s">
        <v>309</v>
      </c>
      <c r="C151" t="s">
        <v>63</v>
      </c>
      <c r="D151" t="s">
        <v>78</v>
      </c>
      <c r="F151" s="12">
        <v>0.13800000000000001</v>
      </c>
      <c r="J151" s="12">
        <v>0.13800000000000001</v>
      </c>
    </row>
    <row r="152" spans="1:10" x14ac:dyDescent="0.35">
      <c r="A152" t="s">
        <v>310</v>
      </c>
      <c r="B152" t="s">
        <v>311</v>
      </c>
      <c r="C152" t="s">
        <v>63</v>
      </c>
      <c r="D152" t="s">
        <v>64</v>
      </c>
      <c r="G152" s="12">
        <v>0.17130000000000001</v>
      </c>
      <c r="J152" s="12">
        <v>0.17130000000000001</v>
      </c>
    </row>
    <row r="153" spans="1:10" x14ac:dyDescent="0.35">
      <c r="A153" t="s">
        <v>312</v>
      </c>
      <c r="B153" t="s">
        <v>313</v>
      </c>
      <c r="C153" t="s">
        <v>63</v>
      </c>
      <c r="D153" t="s">
        <v>64</v>
      </c>
      <c r="F153" s="12">
        <v>0.20150000000000001</v>
      </c>
      <c r="H153" s="12">
        <v>0.1066</v>
      </c>
      <c r="I153" s="12">
        <v>0.29549999999999998</v>
      </c>
      <c r="J153" s="12">
        <v>0.17030000000000001</v>
      </c>
    </row>
    <row r="154" spans="1:10" x14ac:dyDescent="0.35">
      <c r="A154" t="s">
        <v>314</v>
      </c>
      <c r="B154" t="s">
        <v>313</v>
      </c>
      <c r="C154" t="s">
        <v>63</v>
      </c>
      <c r="D154" t="s">
        <v>64</v>
      </c>
      <c r="F154" s="12">
        <v>0.34960000000000002</v>
      </c>
      <c r="G154" s="12">
        <v>0</v>
      </c>
      <c r="H154" s="12">
        <v>0.33169999999999999</v>
      </c>
      <c r="I154" s="12">
        <v>0.25430000000000003</v>
      </c>
      <c r="J154" s="12">
        <v>0.3412</v>
      </c>
    </row>
    <row r="155" spans="1:10" x14ac:dyDescent="0.35">
      <c r="A155" t="s">
        <v>315</v>
      </c>
      <c r="B155" t="s">
        <v>186</v>
      </c>
      <c r="C155" t="s">
        <v>63</v>
      </c>
      <c r="D155" t="s">
        <v>64</v>
      </c>
      <c r="H155" s="12">
        <v>0.68100000000000005</v>
      </c>
      <c r="J155" s="12">
        <v>0.68100000000000005</v>
      </c>
    </row>
    <row r="156" spans="1:10" x14ac:dyDescent="0.35">
      <c r="A156" t="s">
        <v>316</v>
      </c>
      <c r="B156" t="s">
        <v>77</v>
      </c>
      <c r="C156" t="s">
        <v>63</v>
      </c>
      <c r="D156" t="s">
        <v>64</v>
      </c>
      <c r="E156" s="12">
        <v>0.55269999999999997</v>
      </c>
      <c r="G156" s="12">
        <v>0.44579999999999997</v>
      </c>
      <c r="H156" s="12">
        <v>1</v>
      </c>
      <c r="J156" s="12">
        <v>0.51470000000000005</v>
      </c>
    </row>
    <row r="157" spans="1:10" x14ac:dyDescent="0.35">
      <c r="A157" t="s">
        <v>317</v>
      </c>
      <c r="B157" t="s">
        <v>318</v>
      </c>
      <c r="C157" t="s">
        <v>63</v>
      </c>
      <c r="D157" t="s">
        <v>64</v>
      </c>
      <c r="H157" s="12">
        <v>4.7199999999999999E-2</v>
      </c>
      <c r="J157" s="12">
        <v>4.7199999999999999E-2</v>
      </c>
    </row>
    <row r="158" spans="1:10" x14ac:dyDescent="0.35">
      <c r="A158" t="s">
        <v>319</v>
      </c>
      <c r="B158" t="s">
        <v>77</v>
      </c>
      <c r="C158" t="s">
        <v>63</v>
      </c>
      <c r="D158" t="s">
        <v>64</v>
      </c>
      <c r="H158" s="12">
        <v>0.26989999999999997</v>
      </c>
      <c r="J158" s="12">
        <v>0.26989999999999997</v>
      </c>
    </row>
    <row r="159" spans="1:10" x14ac:dyDescent="0.35">
      <c r="A159" t="s">
        <v>320</v>
      </c>
      <c r="B159" t="s">
        <v>321</v>
      </c>
      <c r="C159" t="s">
        <v>63</v>
      </c>
      <c r="D159" t="s">
        <v>64</v>
      </c>
      <c r="F159" s="12">
        <v>0</v>
      </c>
      <c r="G159" s="12">
        <v>0</v>
      </c>
      <c r="H159" s="12">
        <v>0</v>
      </c>
      <c r="I159" s="12">
        <v>0</v>
      </c>
      <c r="J159" s="12">
        <v>0</v>
      </c>
    </row>
    <row r="160" spans="1:10" x14ac:dyDescent="0.35">
      <c r="A160" t="s">
        <v>322</v>
      </c>
      <c r="B160" t="s">
        <v>321</v>
      </c>
      <c r="C160" t="s">
        <v>63</v>
      </c>
      <c r="D160" t="s">
        <v>64</v>
      </c>
      <c r="I160" s="12">
        <v>6.0000000000000001E-3</v>
      </c>
      <c r="J160" s="12">
        <v>6.0000000000000001E-3</v>
      </c>
    </row>
    <row r="161" spans="1:10" x14ac:dyDescent="0.35">
      <c r="A161" t="s">
        <v>323</v>
      </c>
      <c r="B161" t="s">
        <v>321</v>
      </c>
      <c r="C161" t="s">
        <v>63</v>
      </c>
      <c r="D161" t="s">
        <v>64</v>
      </c>
      <c r="F161" s="12">
        <v>1.0999999999999999E-2</v>
      </c>
      <c r="I161" s="12">
        <v>1.06E-2</v>
      </c>
      <c r="J161" s="12">
        <v>1.09E-2</v>
      </c>
    </row>
    <row r="162" spans="1:10" x14ac:dyDescent="0.35">
      <c r="A162" t="s">
        <v>324</v>
      </c>
      <c r="B162" t="s">
        <v>325</v>
      </c>
      <c r="C162" t="s">
        <v>86</v>
      </c>
      <c r="D162" t="s">
        <v>64</v>
      </c>
      <c r="H162" s="12">
        <v>0.60799999999999998</v>
      </c>
      <c r="J162" s="12">
        <v>0.60799999999999998</v>
      </c>
    </row>
    <row r="163" spans="1:10" x14ac:dyDescent="0.35">
      <c r="A163" t="s">
        <v>326</v>
      </c>
      <c r="B163" t="s">
        <v>180</v>
      </c>
      <c r="C163" t="s">
        <v>63</v>
      </c>
      <c r="D163" t="s">
        <v>64</v>
      </c>
      <c r="I163" s="12">
        <v>0.48809999999999998</v>
      </c>
      <c r="J163" s="12">
        <v>0.48809999999999998</v>
      </c>
    </row>
    <row r="164" spans="1:10" x14ac:dyDescent="0.35">
      <c r="A164" t="s">
        <v>327</v>
      </c>
      <c r="B164" t="s">
        <v>313</v>
      </c>
      <c r="C164" t="s">
        <v>63</v>
      </c>
      <c r="D164" t="s">
        <v>64</v>
      </c>
      <c r="F164" s="12">
        <v>0.25640000000000002</v>
      </c>
      <c r="H164" s="12">
        <v>0.31940000000000002</v>
      </c>
      <c r="I164" s="12">
        <v>0.4088</v>
      </c>
      <c r="J164" s="12">
        <v>0.32640000000000002</v>
      </c>
    </row>
    <row r="165" spans="1:10" x14ac:dyDescent="0.35">
      <c r="A165" t="s">
        <v>328</v>
      </c>
      <c r="B165" t="s">
        <v>313</v>
      </c>
      <c r="C165" t="s">
        <v>63</v>
      </c>
      <c r="D165" t="s">
        <v>64</v>
      </c>
      <c r="F165" s="12">
        <v>0.3553</v>
      </c>
      <c r="H165" s="12">
        <v>0.38650000000000001</v>
      </c>
      <c r="I165" s="12">
        <v>0.4662</v>
      </c>
      <c r="J165" s="12">
        <v>0.37159999999999999</v>
      </c>
    </row>
    <row r="166" spans="1:10" x14ac:dyDescent="0.35">
      <c r="A166" t="s">
        <v>329</v>
      </c>
      <c r="B166" t="s">
        <v>77</v>
      </c>
      <c r="C166" t="s">
        <v>63</v>
      </c>
      <c r="D166" t="s">
        <v>73</v>
      </c>
      <c r="H166" s="12">
        <v>0.64800000000000002</v>
      </c>
      <c r="J166" s="12">
        <v>0.64800000000000002</v>
      </c>
    </row>
    <row r="167" spans="1:10" x14ac:dyDescent="0.35">
      <c r="A167" t="s">
        <v>330</v>
      </c>
      <c r="B167" t="s">
        <v>77</v>
      </c>
      <c r="C167" t="s">
        <v>63</v>
      </c>
      <c r="D167" t="s">
        <v>64</v>
      </c>
      <c r="F167" s="12">
        <v>0.20039999999999999</v>
      </c>
      <c r="J167" s="12">
        <v>0.20039999999999999</v>
      </c>
    </row>
    <row r="168" spans="1:10" x14ac:dyDescent="0.35">
      <c r="A168" t="s">
        <v>331</v>
      </c>
      <c r="B168" t="s">
        <v>332</v>
      </c>
      <c r="C168" t="s">
        <v>63</v>
      </c>
      <c r="D168" t="s">
        <v>64</v>
      </c>
      <c r="F168" s="12">
        <v>0.25409999999999999</v>
      </c>
      <c r="H168" s="12">
        <v>0.29580000000000001</v>
      </c>
      <c r="I168" s="12">
        <v>0.308</v>
      </c>
      <c r="J168" s="12">
        <v>0.26700000000000002</v>
      </c>
    </row>
    <row r="169" spans="1:10" x14ac:dyDescent="0.35">
      <c r="A169" t="s">
        <v>333</v>
      </c>
      <c r="B169" t="s">
        <v>334</v>
      </c>
      <c r="C169" t="s">
        <v>63</v>
      </c>
      <c r="D169" t="s">
        <v>64</v>
      </c>
      <c r="H169" s="12">
        <v>0.51980000000000004</v>
      </c>
      <c r="J169" s="12">
        <v>0.51980000000000004</v>
      </c>
    </row>
    <row r="170" spans="1:10" x14ac:dyDescent="0.35">
      <c r="A170" t="s">
        <v>335</v>
      </c>
      <c r="B170" t="s">
        <v>72</v>
      </c>
      <c r="C170" t="s">
        <v>63</v>
      </c>
      <c r="D170" t="s">
        <v>73</v>
      </c>
      <c r="H170" s="12">
        <v>0.74129999999999996</v>
      </c>
      <c r="J170" s="12">
        <v>0.74129999999999996</v>
      </c>
    </row>
    <row r="171" spans="1:10" x14ac:dyDescent="0.35">
      <c r="A171" t="s">
        <v>336</v>
      </c>
      <c r="B171" t="s">
        <v>236</v>
      </c>
      <c r="C171" t="s">
        <v>63</v>
      </c>
      <c r="D171" t="s">
        <v>237</v>
      </c>
      <c r="E171" s="12">
        <v>0.35049999999999998</v>
      </c>
      <c r="H171" s="12">
        <v>8.5400000000000004E-2</v>
      </c>
      <c r="J171" s="12">
        <v>0.27410000000000001</v>
      </c>
    </row>
    <row r="172" spans="1:10" x14ac:dyDescent="0.35">
      <c r="A172" t="s">
        <v>337</v>
      </c>
      <c r="B172" t="s">
        <v>338</v>
      </c>
      <c r="C172" t="s">
        <v>63</v>
      </c>
      <c r="D172" t="s">
        <v>64</v>
      </c>
      <c r="E172" s="12">
        <v>0.52780000000000005</v>
      </c>
      <c r="F172" s="12">
        <v>4.7600000000000003E-2</v>
      </c>
      <c r="G172" s="12">
        <v>0.51900000000000002</v>
      </c>
      <c r="H172" s="12">
        <v>0.33960000000000001</v>
      </c>
      <c r="I172" s="12">
        <v>0.3261</v>
      </c>
      <c r="J172" s="12">
        <v>0.52659999999999996</v>
      </c>
    </row>
    <row r="173" spans="1:10" x14ac:dyDescent="0.35">
      <c r="A173" t="s">
        <v>339</v>
      </c>
      <c r="B173" t="s">
        <v>172</v>
      </c>
      <c r="C173" t="s">
        <v>63</v>
      </c>
      <c r="D173" t="s">
        <v>64</v>
      </c>
      <c r="F173" s="12">
        <v>0.14330000000000001</v>
      </c>
      <c r="H173" s="12">
        <v>0</v>
      </c>
      <c r="I173" s="12">
        <v>5.74E-2</v>
      </c>
      <c r="J173" s="12">
        <v>0.13969999999999999</v>
      </c>
    </row>
    <row r="174" spans="1:10" x14ac:dyDescent="0.35">
      <c r="A174" t="s">
        <v>340</v>
      </c>
      <c r="B174" t="s">
        <v>77</v>
      </c>
      <c r="C174" t="s">
        <v>63</v>
      </c>
      <c r="D174" t="s">
        <v>64</v>
      </c>
      <c r="F174" s="12">
        <v>4.9099999999999998E-2</v>
      </c>
      <c r="H174" s="12">
        <v>0.1108</v>
      </c>
      <c r="I174" s="12">
        <v>0.1454</v>
      </c>
      <c r="J174" s="12">
        <v>0.10489999999999999</v>
      </c>
    </row>
    <row r="175" spans="1:10" x14ac:dyDescent="0.35">
      <c r="A175" t="s">
        <v>341</v>
      </c>
      <c r="B175" t="s">
        <v>135</v>
      </c>
      <c r="C175" t="s">
        <v>63</v>
      </c>
      <c r="D175" t="s">
        <v>64</v>
      </c>
      <c r="F175" s="12">
        <v>0.2162</v>
      </c>
      <c r="H175" s="12">
        <v>0.26100000000000001</v>
      </c>
      <c r="I175" s="12">
        <v>0.2858</v>
      </c>
      <c r="J175" s="12">
        <v>0.2324</v>
      </c>
    </row>
    <row r="176" spans="1:10" x14ac:dyDescent="0.35">
      <c r="A176" t="s">
        <v>342</v>
      </c>
      <c r="B176" t="s">
        <v>77</v>
      </c>
      <c r="C176" t="s">
        <v>63</v>
      </c>
      <c r="D176" t="s">
        <v>64</v>
      </c>
      <c r="E176" s="12">
        <v>7.9299999999999995E-2</v>
      </c>
      <c r="J176" s="12">
        <v>7.9000000000000001E-2</v>
      </c>
    </row>
    <row r="177" spans="1:10" x14ac:dyDescent="0.35">
      <c r="A177" t="s">
        <v>343</v>
      </c>
      <c r="B177" t="s">
        <v>344</v>
      </c>
      <c r="C177" t="s">
        <v>63</v>
      </c>
      <c r="D177" t="s">
        <v>64</v>
      </c>
      <c r="E177" s="12">
        <v>0.39579999999999999</v>
      </c>
      <c r="G177" s="12">
        <v>0.13</v>
      </c>
      <c r="J177" s="12">
        <v>0.31669999999999998</v>
      </c>
    </row>
    <row r="178" spans="1:10" x14ac:dyDescent="0.35">
      <c r="A178" t="s">
        <v>345</v>
      </c>
      <c r="B178" t="s">
        <v>346</v>
      </c>
      <c r="C178" t="s">
        <v>63</v>
      </c>
      <c r="D178" t="s">
        <v>64</v>
      </c>
      <c r="H178" s="12">
        <v>0.01</v>
      </c>
      <c r="J178" s="12">
        <v>0.01</v>
      </c>
    </row>
    <row r="179" spans="1:10" x14ac:dyDescent="0.35">
      <c r="A179" t="s">
        <v>347</v>
      </c>
      <c r="B179" t="s">
        <v>348</v>
      </c>
      <c r="C179" t="s">
        <v>63</v>
      </c>
      <c r="D179" t="s">
        <v>64</v>
      </c>
      <c r="H179" s="12">
        <v>0.30099999999999999</v>
      </c>
      <c r="J179" s="12">
        <v>0.30099999999999999</v>
      </c>
    </row>
    <row r="180" spans="1:10" x14ac:dyDescent="0.35">
      <c r="A180" t="s">
        <v>349</v>
      </c>
      <c r="B180" t="s">
        <v>176</v>
      </c>
      <c r="C180" t="s">
        <v>63</v>
      </c>
      <c r="D180" t="s">
        <v>64</v>
      </c>
      <c r="E180" s="12">
        <v>0.53710000000000002</v>
      </c>
      <c r="F180" s="12">
        <v>7.6899999999999996E-2</v>
      </c>
      <c r="G180" s="12">
        <v>0.4627</v>
      </c>
      <c r="I180" s="12">
        <v>0.1515</v>
      </c>
      <c r="J180" s="12">
        <v>0.5161</v>
      </c>
    </row>
    <row r="181" spans="1:10" x14ac:dyDescent="0.35">
      <c r="A181" t="s">
        <v>350</v>
      </c>
      <c r="B181" t="s">
        <v>351</v>
      </c>
      <c r="C181" t="s">
        <v>63</v>
      </c>
      <c r="D181" t="s">
        <v>64</v>
      </c>
      <c r="H181" s="12">
        <v>0.26369999999999999</v>
      </c>
      <c r="J181" s="12">
        <v>0.26369999999999999</v>
      </c>
    </row>
    <row r="182" spans="1:10" x14ac:dyDescent="0.35">
      <c r="A182" t="s">
        <v>352</v>
      </c>
      <c r="B182" t="s">
        <v>353</v>
      </c>
      <c r="C182" t="s">
        <v>63</v>
      </c>
      <c r="D182" t="s">
        <v>64</v>
      </c>
      <c r="H182" s="12">
        <v>0.69430000000000003</v>
      </c>
      <c r="J182" s="12">
        <v>0.69430000000000003</v>
      </c>
    </row>
    <row r="183" spans="1:10" x14ac:dyDescent="0.35">
      <c r="A183" t="s">
        <v>354</v>
      </c>
      <c r="B183" t="s">
        <v>355</v>
      </c>
      <c r="C183" t="s">
        <v>63</v>
      </c>
      <c r="D183" t="s">
        <v>64</v>
      </c>
      <c r="F183" s="12">
        <v>1.7500000000000002E-2</v>
      </c>
      <c r="H183" s="12">
        <v>0</v>
      </c>
      <c r="I183" s="12">
        <v>1.29E-2</v>
      </c>
      <c r="J183" s="12">
        <v>1.61E-2</v>
      </c>
    </row>
    <row r="184" spans="1:10" x14ac:dyDescent="0.35">
      <c r="A184" t="s">
        <v>356</v>
      </c>
      <c r="B184" t="s">
        <v>355</v>
      </c>
      <c r="C184" t="s">
        <v>63</v>
      </c>
      <c r="D184" t="s">
        <v>64</v>
      </c>
      <c r="E184" s="12">
        <v>0</v>
      </c>
      <c r="F184" s="12">
        <v>8.5000000000000006E-3</v>
      </c>
      <c r="G184" s="12">
        <v>0</v>
      </c>
      <c r="H184" s="12">
        <v>4.4999999999999997E-3</v>
      </c>
      <c r="I184" s="12">
        <v>3.3E-3</v>
      </c>
      <c r="J184" s="12">
        <v>6.0000000000000001E-3</v>
      </c>
    </row>
    <row r="185" spans="1:10" x14ac:dyDescent="0.35">
      <c r="A185" t="s">
        <v>357</v>
      </c>
      <c r="B185" t="s">
        <v>77</v>
      </c>
      <c r="C185" t="s">
        <v>63</v>
      </c>
      <c r="D185" t="s">
        <v>78</v>
      </c>
      <c r="E185" s="12">
        <v>0.19900000000000001</v>
      </c>
      <c r="J185" s="12">
        <v>0.19900000000000001</v>
      </c>
    </row>
    <row r="186" spans="1:10" x14ac:dyDescent="0.35">
      <c r="A186" t="s">
        <v>358</v>
      </c>
      <c r="B186" t="s">
        <v>359</v>
      </c>
      <c r="C186" t="s">
        <v>63</v>
      </c>
      <c r="D186" t="s">
        <v>64</v>
      </c>
      <c r="H186" s="12">
        <v>0.23269999999999999</v>
      </c>
      <c r="J186" s="12">
        <v>0.23269999999999999</v>
      </c>
    </row>
    <row r="187" spans="1:10" x14ac:dyDescent="0.35">
      <c r="A187" t="s">
        <v>360</v>
      </c>
      <c r="B187" t="s">
        <v>361</v>
      </c>
      <c r="C187" t="s">
        <v>63</v>
      </c>
      <c r="D187" t="s">
        <v>78</v>
      </c>
      <c r="G187" s="12">
        <v>0.46260000000000001</v>
      </c>
      <c r="J187" s="12">
        <v>0.46260000000000001</v>
      </c>
    </row>
    <row r="188" spans="1:10" x14ac:dyDescent="0.35">
      <c r="A188" t="s">
        <v>362</v>
      </c>
      <c r="B188" t="s">
        <v>363</v>
      </c>
      <c r="C188" t="s">
        <v>63</v>
      </c>
      <c r="D188" t="s">
        <v>64</v>
      </c>
      <c r="H188" s="12">
        <v>0.23230000000000001</v>
      </c>
      <c r="J188" s="12">
        <v>0.23230000000000001</v>
      </c>
    </row>
    <row r="189" spans="1:10" x14ac:dyDescent="0.35">
      <c r="A189" t="s">
        <v>364</v>
      </c>
      <c r="B189" t="s">
        <v>365</v>
      </c>
      <c r="C189" t="s">
        <v>63</v>
      </c>
      <c r="D189" t="s">
        <v>64</v>
      </c>
      <c r="H189" s="12">
        <v>0.48780000000000001</v>
      </c>
      <c r="J189" s="12">
        <v>0.48780000000000001</v>
      </c>
    </row>
    <row r="190" spans="1:10" x14ac:dyDescent="0.35">
      <c r="A190" t="s">
        <v>366</v>
      </c>
      <c r="B190" t="s">
        <v>367</v>
      </c>
      <c r="C190" t="s">
        <v>63</v>
      </c>
      <c r="D190" t="s">
        <v>237</v>
      </c>
      <c r="H190" s="12">
        <v>0.45629999999999998</v>
      </c>
      <c r="J190" s="12">
        <v>0.45629999999999998</v>
      </c>
    </row>
    <row r="191" spans="1:10" x14ac:dyDescent="0.35">
      <c r="A191" t="s">
        <v>368</v>
      </c>
      <c r="B191" t="s">
        <v>367</v>
      </c>
      <c r="C191" t="s">
        <v>63</v>
      </c>
      <c r="D191" t="s">
        <v>237</v>
      </c>
      <c r="H191" s="12">
        <v>0.28149999999999997</v>
      </c>
      <c r="J191" s="12">
        <v>0.28149999999999997</v>
      </c>
    </row>
    <row r="192" spans="1:10" x14ac:dyDescent="0.35">
      <c r="A192" t="s">
        <v>369</v>
      </c>
      <c r="B192" t="s">
        <v>184</v>
      </c>
      <c r="C192" t="s">
        <v>63</v>
      </c>
      <c r="D192" t="s">
        <v>64</v>
      </c>
      <c r="E192" s="12">
        <v>0.67559999999999998</v>
      </c>
      <c r="G192" s="12">
        <v>0.41220000000000001</v>
      </c>
      <c r="H192" s="12">
        <v>0</v>
      </c>
      <c r="J192" s="12">
        <v>0.64439999999999997</v>
      </c>
    </row>
    <row r="193" spans="1:10" x14ac:dyDescent="0.35">
      <c r="A193" t="s">
        <v>370</v>
      </c>
      <c r="B193" t="s">
        <v>170</v>
      </c>
      <c r="C193" t="s">
        <v>63</v>
      </c>
      <c r="D193" t="s">
        <v>78</v>
      </c>
      <c r="G193" s="12">
        <v>0.2339</v>
      </c>
      <c r="J193" s="12">
        <v>0.2339</v>
      </c>
    </row>
    <row r="194" spans="1:10" x14ac:dyDescent="0.35">
      <c r="A194" t="s">
        <v>371</v>
      </c>
      <c r="B194" t="s">
        <v>77</v>
      </c>
      <c r="C194" t="s">
        <v>86</v>
      </c>
      <c r="D194" t="s">
        <v>64</v>
      </c>
      <c r="F194" s="12">
        <v>1.32E-2</v>
      </c>
      <c r="H194" s="12">
        <v>0.38629999999999998</v>
      </c>
      <c r="I194" s="12">
        <v>0</v>
      </c>
      <c r="J194" s="12">
        <v>0.376</v>
      </c>
    </row>
    <row r="195" spans="1:10" x14ac:dyDescent="0.35">
      <c r="A195" t="s">
        <v>372</v>
      </c>
      <c r="B195" t="s">
        <v>278</v>
      </c>
      <c r="C195" t="s">
        <v>86</v>
      </c>
      <c r="D195" t="s">
        <v>64</v>
      </c>
      <c r="F195" s="12">
        <v>0.1232</v>
      </c>
      <c r="G195" s="12">
        <v>0.1</v>
      </c>
      <c r="H195" s="12">
        <v>0.12740000000000001</v>
      </c>
      <c r="I195" s="12">
        <v>0.19589999999999999</v>
      </c>
      <c r="J195" s="12">
        <v>0.1429</v>
      </c>
    </row>
    <row r="196" spans="1:10" x14ac:dyDescent="0.35">
      <c r="A196" t="s">
        <v>373</v>
      </c>
      <c r="B196" t="s">
        <v>180</v>
      </c>
      <c r="C196" t="s">
        <v>63</v>
      </c>
      <c r="D196" t="s">
        <v>64</v>
      </c>
      <c r="E196" s="12">
        <v>0.46560000000000001</v>
      </c>
      <c r="F196" s="12">
        <v>0</v>
      </c>
      <c r="G196" s="12">
        <v>0.49049999999999999</v>
      </c>
      <c r="H196" s="12">
        <v>0.1111</v>
      </c>
      <c r="I196" s="12">
        <v>1.0800000000000001E-2</v>
      </c>
      <c r="J196" s="12">
        <v>0.46439999999999998</v>
      </c>
    </row>
    <row r="197" spans="1:10" x14ac:dyDescent="0.35">
      <c r="A197" t="s">
        <v>374</v>
      </c>
      <c r="B197" t="s">
        <v>375</v>
      </c>
      <c r="C197" t="s">
        <v>63</v>
      </c>
      <c r="D197" t="s">
        <v>64</v>
      </c>
      <c r="G197" s="12">
        <v>0.29649999999999999</v>
      </c>
      <c r="J197" s="12">
        <v>0.29649999999999999</v>
      </c>
    </row>
    <row r="198" spans="1:10" x14ac:dyDescent="0.35">
      <c r="A198" t="s">
        <v>376</v>
      </c>
      <c r="B198" t="s">
        <v>377</v>
      </c>
      <c r="C198" t="s">
        <v>63</v>
      </c>
      <c r="D198" t="s">
        <v>64</v>
      </c>
      <c r="H198" s="12">
        <v>0.43430000000000002</v>
      </c>
      <c r="J198" s="12">
        <v>0.43430000000000002</v>
      </c>
    </row>
    <row r="199" spans="1:10" x14ac:dyDescent="0.35">
      <c r="A199" t="s">
        <v>378</v>
      </c>
      <c r="B199" t="s">
        <v>77</v>
      </c>
      <c r="C199" t="s">
        <v>63</v>
      </c>
      <c r="D199" t="s">
        <v>64</v>
      </c>
      <c r="E199" s="12">
        <v>0.25459999999999999</v>
      </c>
      <c r="I199" s="12">
        <v>0.25540000000000002</v>
      </c>
      <c r="J199" s="12">
        <v>0.25519999999999998</v>
      </c>
    </row>
    <row r="200" spans="1:10" x14ac:dyDescent="0.35">
      <c r="A200" t="s">
        <v>379</v>
      </c>
      <c r="B200" t="s">
        <v>77</v>
      </c>
      <c r="C200" t="s">
        <v>63</v>
      </c>
      <c r="D200" t="s">
        <v>64</v>
      </c>
      <c r="F200" s="12">
        <v>1.9900000000000001E-2</v>
      </c>
      <c r="I200" s="12">
        <v>8.0999999999999996E-3</v>
      </c>
      <c r="J200" s="12">
        <v>1.83E-2</v>
      </c>
    </row>
    <row r="201" spans="1:10" x14ac:dyDescent="0.35">
      <c r="A201" t="s">
        <v>380</v>
      </c>
      <c r="B201" t="s">
        <v>381</v>
      </c>
      <c r="C201" t="s">
        <v>63</v>
      </c>
      <c r="D201" t="s">
        <v>64</v>
      </c>
      <c r="E201" s="12">
        <v>0.59219999999999995</v>
      </c>
      <c r="G201" s="12">
        <v>0.58069999999999999</v>
      </c>
      <c r="H201" s="12">
        <v>0.72409999999999997</v>
      </c>
      <c r="J201" s="12">
        <v>0.59179999999999999</v>
      </c>
    </row>
    <row r="202" spans="1:10" x14ac:dyDescent="0.35">
      <c r="A202" t="s">
        <v>382</v>
      </c>
      <c r="B202" t="s">
        <v>383</v>
      </c>
      <c r="C202" t="s">
        <v>63</v>
      </c>
      <c r="D202" t="s">
        <v>64</v>
      </c>
      <c r="H202" s="12">
        <v>0.47410000000000002</v>
      </c>
      <c r="J202" s="12">
        <v>0.47410000000000002</v>
      </c>
    </row>
    <row r="203" spans="1:10" x14ac:dyDescent="0.35">
      <c r="A203" t="s">
        <v>384</v>
      </c>
      <c r="B203" t="s">
        <v>385</v>
      </c>
      <c r="C203" t="s">
        <v>63</v>
      </c>
      <c r="D203" t="s">
        <v>64</v>
      </c>
      <c r="E203" s="12">
        <v>0.2296</v>
      </c>
      <c r="J203" s="12">
        <v>0.2296</v>
      </c>
    </row>
    <row r="204" spans="1:10" x14ac:dyDescent="0.35">
      <c r="A204" t="s">
        <v>386</v>
      </c>
      <c r="B204" t="s">
        <v>387</v>
      </c>
      <c r="C204" t="s">
        <v>63</v>
      </c>
      <c r="D204" t="s">
        <v>64</v>
      </c>
      <c r="E204" s="12">
        <v>0.2286</v>
      </c>
      <c r="F204" s="12">
        <v>0.33329999999999999</v>
      </c>
      <c r="G204" s="12">
        <v>0.1</v>
      </c>
      <c r="I204" s="12">
        <v>0.56840000000000002</v>
      </c>
      <c r="J204" s="12">
        <v>0.51519999999999999</v>
      </c>
    </row>
    <row r="205" spans="1:10" x14ac:dyDescent="0.35">
      <c r="A205" t="s">
        <v>388</v>
      </c>
      <c r="B205" t="s">
        <v>311</v>
      </c>
      <c r="C205" t="s">
        <v>63</v>
      </c>
      <c r="D205" t="s">
        <v>64</v>
      </c>
      <c r="G205" s="12">
        <v>0.34210000000000002</v>
      </c>
      <c r="J205" s="12">
        <v>0.34210000000000002</v>
      </c>
    </row>
    <row r="206" spans="1:10" x14ac:dyDescent="0.35">
      <c r="A206" t="s">
        <v>389</v>
      </c>
      <c r="B206" t="s">
        <v>390</v>
      </c>
      <c r="C206" t="s">
        <v>63</v>
      </c>
      <c r="D206" t="s">
        <v>64</v>
      </c>
      <c r="H206" s="12">
        <v>8.2400000000000001E-2</v>
      </c>
      <c r="J206" s="12">
        <v>8.2400000000000001E-2</v>
      </c>
    </row>
    <row r="207" spans="1:10" x14ac:dyDescent="0.35">
      <c r="A207" t="s">
        <v>391</v>
      </c>
      <c r="B207" t="s">
        <v>392</v>
      </c>
      <c r="C207" t="s">
        <v>63</v>
      </c>
      <c r="D207" t="s">
        <v>78</v>
      </c>
      <c r="H207" s="12">
        <v>0.79510000000000003</v>
      </c>
      <c r="J207" s="12">
        <v>0.79510000000000003</v>
      </c>
    </row>
    <row r="208" spans="1:10" x14ac:dyDescent="0.35">
      <c r="A208" t="s">
        <v>393</v>
      </c>
      <c r="B208" t="s">
        <v>394</v>
      </c>
      <c r="C208" t="s">
        <v>63</v>
      </c>
      <c r="D208" t="s">
        <v>64</v>
      </c>
      <c r="F208" s="12">
        <v>8.0500000000000002E-2</v>
      </c>
      <c r="I208" s="12">
        <v>0.20300000000000001</v>
      </c>
      <c r="J208" s="12">
        <v>0.16070000000000001</v>
      </c>
    </row>
    <row r="209" spans="1:10" x14ac:dyDescent="0.35">
      <c r="A209" t="s">
        <v>395</v>
      </c>
      <c r="B209" t="s">
        <v>396</v>
      </c>
      <c r="C209" t="s">
        <v>63</v>
      </c>
      <c r="D209" t="s">
        <v>64</v>
      </c>
      <c r="E209" s="12">
        <v>0.31790000000000002</v>
      </c>
      <c r="J209" s="12">
        <v>0.31790000000000002</v>
      </c>
    </row>
    <row r="210" spans="1:10" x14ac:dyDescent="0.35">
      <c r="A210" t="s">
        <v>397</v>
      </c>
      <c r="B210" t="s">
        <v>398</v>
      </c>
      <c r="C210" t="s">
        <v>86</v>
      </c>
      <c r="D210" t="s">
        <v>64</v>
      </c>
      <c r="H210" s="12">
        <v>0.45490000000000003</v>
      </c>
      <c r="J210" s="12">
        <v>0.45490000000000003</v>
      </c>
    </row>
    <row r="211" spans="1:10" x14ac:dyDescent="0.35">
      <c r="A211" t="s">
        <v>399</v>
      </c>
      <c r="B211" t="s">
        <v>400</v>
      </c>
      <c r="C211" t="s">
        <v>63</v>
      </c>
      <c r="D211" t="s">
        <v>78</v>
      </c>
      <c r="H211" s="12">
        <v>0.61260000000000003</v>
      </c>
      <c r="J211" s="12">
        <v>0.61260000000000003</v>
      </c>
    </row>
    <row r="212" spans="1:10" x14ac:dyDescent="0.35">
      <c r="A212" t="s">
        <v>401</v>
      </c>
      <c r="B212" t="s">
        <v>402</v>
      </c>
      <c r="C212" t="s">
        <v>63</v>
      </c>
      <c r="D212" t="s">
        <v>64</v>
      </c>
      <c r="H212" s="12">
        <v>0</v>
      </c>
      <c r="J212" s="12">
        <v>0</v>
      </c>
    </row>
    <row r="213" spans="1:10" x14ac:dyDescent="0.35">
      <c r="A213" t="s">
        <v>403</v>
      </c>
      <c r="B213" t="s">
        <v>77</v>
      </c>
      <c r="C213" t="s">
        <v>63</v>
      </c>
      <c r="D213" t="s">
        <v>64</v>
      </c>
      <c r="F213" s="12">
        <v>0.2747</v>
      </c>
      <c r="H213" s="12">
        <v>0.33700000000000002</v>
      </c>
      <c r="I213" s="12">
        <v>0.34250000000000003</v>
      </c>
      <c r="J213" s="12">
        <v>0.30120000000000002</v>
      </c>
    </row>
    <row r="214" spans="1:10" x14ac:dyDescent="0.35">
      <c r="A214" t="s">
        <v>404</v>
      </c>
      <c r="B214" t="s">
        <v>102</v>
      </c>
      <c r="C214" t="s">
        <v>63</v>
      </c>
      <c r="D214" t="s">
        <v>64</v>
      </c>
      <c r="H214" s="12">
        <v>0.31440000000000001</v>
      </c>
      <c r="J214" s="12">
        <v>0.31440000000000001</v>
      </c>
    </row>
    <row r="215" spans="1:10" x14ac:dyDescent="0.35">
      <c r="A215" t="s">
        <v>405</v>
      </c>
      <c r="B215" t="s">
        <v>406</v>
      </c>
      <c r="C215" t="s">
        <v>63</v>
      </c>
      <c r="D215" t="s">
        <v>64</v>
      </c>
      <c r="H215" s="12">
        <v>0.113</v>
      </c>
      <c r="J215" s="12">
        <v>0.113</v>
      </c>
    </row>
    <row r="216" spans="1:10" x14ac:dyDescent="0.35">
      <c r="A216" t="s">
        <v>407</v>
      </c>
      <c r="B216" t="s">
        <v>77</v>
      </c>
      <c r="C216" t="s">
        <v>63</v>
      </c>
      <c r="D216" t="s">
        <v>64</v>
      </c>
      <c r="E216" s="12">
        <v>0.36780000000000002</v>
      </c>
      <c r="G216" s="12">
        <v>0.18890000000000001</v>
      </c>
      <c r="H216" s="12">
        <v>0.57140000000000002</v>
      </c>
      <c r="J216" s="12">
        <v>0.32840000000000003</v>
      </c>
    </row>
    <row r="217" spans="1:10" x14ac:dyDescent="0.35">
      <c r="A217" t="s">
        <v>408</v>
      </c>
      <c r="B217" t="s">
        <v>409</v>
      </c>
      <c r="C217" t="s">
        <v>63</v>
      </c>
      <c r="D217" t="s">
        <v>78</v>
      </c>
      <c r="E217" s="12">
        <v>0.26269999999999999</v>
      </c>
      <c r="J217" s="12">
        <v>0.26269999999999999</v>
      </c>
    </row>
    <row r="218" spans="1:10" x14ac:dyDescent="0.35">
      <c r="A218" t="s">
        <v>410</v>
      </c>
      <c r="B218" t="s">
        <v>411</v>
      </c>
      <c r="C218" t="s">
        <v>63</v>
      </c>
      <c r="D218" t="s">
        <v>64</v>
      </c>
      <c r="E218" s="12">
        <v>0.4032</v>
      </c>
      <c r="I218" s="12">
        <v>0</v>
      </c>
      <c r="J218" s="12">
        <v>0.40289999999999998</v>
      </c>
    </row>
    <row r="219" spans="1:10" x14ac:dyDescent="0.35">
      <c r="A219" t="s">
        <v>412</v>
      </c>
      <c r="B219" t="s">
        <v>413</v>
      </c>
      <c r="C219" t="s">
        <v>63</v>
      </c>
      <c r="D219" t="s">
        <v>64</v>
      </c>
      <c r="F219" s="12">
        <v>0.26250000000000001</v>
      </c>
      <c r="G219" s="12">
        <v>0</v>
      </c>
      <c r="H219" s="12">
        <v>0.22639999999999999</v>
      </c>
      <c r="I219" s="12">
        <v>0.1741</v>
      </c>
      <c r="J219" s="12">
        <v>0.23050000000000001</v>
      </c>
    </row>
    <row r="220" spans="1:10" x14ac:dyDescent="0.35">
      <c r="A220" t="s">
        <v>414</v>
      </c>
      <c r="B220" t="s">
        <v>413</v>
      </c>
      <c r="C220" t="s">
        <v>63</v>
      </c>
      <c r="D220" t="s">
        <v>64</v>
      </c>
      <c r="H220" s="12">
        <v>9.0899999999999995E-2</v>
      </c>
      <c r="J220" s="12">
        <v>9.0899999999999995E-2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554A-0219-4FAF-94F3-9BA95666B199}">
  <dimension ref="A1:J220"/>
  <sheetViews>
    <sheetView workbookViewId="0">
      <selection activeCell="B17" sqref="B17"/>
    </sheetView>
  </sheetViews>
  <sheetFormatPr defaultRowHeight="14.5" x14ac:dyDescent="0.35"/>
  <cols>
    <col min="1" max="1" width="58" bestFit="1" customWidth="1"/>
    <col min="2" max="2" width="44.81640625" bestFit="1" customWidth="1"/>
    <col min="3" max="3" width="16.7265625" customWidth="1"/>
    <col min="4" max="4" width="22.81640625" bestFit="1" customWidth="1"/>
    <col min="5" max="5" width="24.81640625" customWidth="1"/>
    <col min="6" max="6" width="26.26953125" customWidth="1"/>
    <col min="7" max="7" width="15.7265625" customWidth="1"/>
    <col min="8" max="8" width="28.1796875" customWidth="1"/>
    <col min="9" max="9" width="14.453125" customWidth="1"/>
    <col min="10" max="10" width="13.453125" customWidth="1"/>
  </cols>
  <sheetData>
    <row r="1" spans="1:10" x14ac:dyDescent="0.35">
      <c r="A1" t="s">
        <v>52</v>
      </c>
      <c r="B1" t="s">
        <v>53</v>
      </c>
      <c r="C1" t="s">
        <v>54</v>
      </c>
      <c r="D1" t="s">
        <v>7</v>
      </c>
      <c r="E1" t="s">
        <v>55</v>
      </c>
      <c r="F1" t="s">
        <v>56</v>
      </c>
      <c r="G1" t="s">
        <v>57</v>
      </c>
      <c r="H1" t="s">
        <v>58</v>
      </c>
      <c r="I1" t="s">
        <v>59</v>
      </c>
      <c r="J1" s="12" t="s">
        <v>60</v>
      </c>
    </row>
    <row r="2" spans="1:10" x14ac:dyDescent="0.35">
      <c r="A2" t="s">
        <v>61</v>
      </c>
      <c r="B2" t="s">
        <v>62</v>
      </c>
      <c r="C2" t="s">
        <v>63</v>
      </c>
      <c r="D2" t="s">
        <v>64</v>
      </c>
      <c r="E2" s="12">
        <v>0.83330000000000004</v>
      </c>
      <c r="G2" s="12">
        <v>0.76749999999999996</v>
      </c>
      <c r="H2" s="12"/>
      <c r="J2" s="12">
        <v>0.76839999999999997</v>
      </c>
    </row>
    <row r="3" spans="1:10" x14ac:dyDescent="0.35">
      <c r="A3" t="s">
        <v>65</v>
      </c>
      <c r="B3" t="s">
        <v>66</v>
      </c>
      <c r="C3" t="s">
        <v>63</v>
      </c>
      <c r="D3" t="s">
        <v>64</v>
      </c>
      <c r="H3" s="12">
        <v>0.74</v>
      </c>
      <c r="J3" s="12">
        <v>0.74</v>
      </c>
    </row>
    <row r="4" spans="1:10" x14ac:dyDescent="0.35">
      <c r="A4" t="s">
        <v>67</v>
      </c>
      <c r="B4" t="s">
        <v>68</v>
      </c>
      <c r="C4" t="s">
        <v>63</v>
      </c>
      <c r="D4" t="s">
        <v>64</v>
      </c>
      <c r="H4" s="12">
        <v>0.76080000000000003</v>
      </c>
      <c r="J4" s="12">
        <v>0.76080000000000003</v>
      </c>
    </row>
    <row r="5" spans="1:10" x14ac:dyDescent="0.35">
      <c r="A5" t="s">
        <v>69</v>
      </c>
      <c r="B5" t="s">
        <v>70</v>
      </c>
      <c r="C5" t="s">
        <v>63</v>
      </c>
      <c r="D5" t="s">
        <v>64</v>
      </c>
      <c r="H5" s="12">
        <v>0.57089999999999996</v>
      </c>
      <c r="J5" s="12">
        <v>0.57089999999999996</v>
      </c>
    </row>
    <row r="6" spans="1:10" x14ac:dyDescent="0.35">
      <c r="A6" t="s">
        <v>71</v>
      </c>
      <c r="B6" t="s">
        <v>72</v>
      </c>
      <c r="C6" t="s">
        <v>63</v>
      </c>
      <c r="D6" t="s">
        <v>73</v>
      </c>
      <c r="H6" s="12">
        <v>0.65129999999999999</v>
      </c>
      <c r="J6" s="12">
        <v>0.65129999999999999</v>
      </c>
    </row>
    <row r="7" spans="1:10" x14ac:dyDescent="0.35">
      <c r="A7" t="s">
        <v>74</v>
      </c>
      <c r="B7" t="s">
        <v>75</v>
      </c>
      <c r="C7" t="s">
        <v>63</v>
      </c>
      <c r="D7" t="s">
        <v>64</v>
      </c>
      <c r="G7" s="12">
        <v>0.57140000000000002</v>
      </c>
      <c r="H7" s="12"/>
      <c r="J7" s="12">
        <v>0.57140000000000002</v>
      </c>
    </row>
    <row r="8" spans="1:10" x14ac:dyDescent="0.35">
      <c r="A8" t="s">
        <v>76</v>
      </c>
      <c r="B8" t="s">
        <v>77</v>
      </c>
      <c r="C8" t="s">
        <v>63</v>
      </c>
      <c r="D8" t="s">
        <v>78</v>
      </c>
      <c r="H8" s="12">
        <v>5.8400000000000001E-2</v>
      </c>
      <c r="J8" s="12">
        <v>5.8400000000000001E-2</v>
      </c>
    </row>
    <row r="9" spans="1:10" x14ac:dyDescent="0.35">
      <c r="A9" t="s">
        <v>79</v>
      </c>
      <c r="B9" t="s">
        <v>80</v>
      </c>
      <c r="C9" t="s">
        <v>63</v>
      </c>
      <c r="D9" t="s">
        <v>64</v>
      </c>
      <c r="H9" s="12">
        <v>0.76600000000000001</v>
      </c>
      <c r="J9" s="12">
        <v>0.76600000000000001</v>
      </c>
    </row>
    <row r="10" spans="1:10" x14ac:dyDescent="0.35">
      <c r="A10" t="s">
        <v>81</v>
      </c>
      <c r="B10" t="s">
        <v>82</v>
      </c>
      <c r="C10" t="s">
        <v>63</v>
      </c>
      <c r="D10" t="s">
        <v>64</v>
      </c>
      <c r="E10" s="12"/>
      <c r="G10" s="12"/>
      <c r="H10" s="12">
        <v>0.64580000000000004</v>
      </c>
      <c r="J10" s="12">
        <v>0.64580000000000004</v>
      </c>
    </row>
    <row r="11" spans="1:10" x14ac:dyDescent="0.35">
      <c r="A11" t="s">
        <v>83</v>
      </c>
      <c r="B11" t="s">
        <v>82</v>
      </c>
      <c r="C11" t="s">
        <v>63</v>
      </c>
      <c r="D11" t="s">
        <v>64</v>
      </c>
      <c r="E11" s="12"/>
      <c r="H11" s="12">
        <v>0.50790000000000002</v>
      </c>
      <c r="J11" s="12">
        <v>0.50790000000000002</v>
      </c>
    </row>
    <row r="12" spans="1:10" x14ac:dyDescent="0.35">
      <c r="A12" t="s">
        <v>84</v>
      </c>
      <c r="B12" t="s">
        <v>85</v>
      </c>
      <c r="C12" t="s">
        <v>86</v>
      </c>
      <c r="D12" t="s">
        <v>64</v>
      </c>
      <c r="H12" s="12">
        <v>0.71879999999999999</v>
      </c>
      <c r="J12" s="12">
        <v>0.71879999999999999</v>
      </c>
    </row>
    <row r="13" spans="1:10" x14ac:dyDescent="0.35">
      <c r="A13" t="s">
        <v>87</v>
      </c>
      <c r="B13" t="s">
        <v>88</v>
      </c>
      <c r="C13" t="s">
        <v>63</v>
      </c>
      <c r="D13" t="s">
        <v>78</v>
      </c>
      <c r="F13" s="12">
        <v>0.62419999999999998</v>
      </c>
      <c r="I13" s="12"/>
      <c r="J13" s="12">
        <v>0.62419999999999998</v>
      </c>
    </row>
    <row r="14" spans="1:10" x14ac:dyDescent="0.35">
      <c r="A14" t="s">
        <v>89</v>
      </c>
      <c r="B14" t="s">
        <v>88</v>
      </c>
      <c r="C14" t="s">
        <v>63</v>
      </c>
      <c r="D14" t="s">
        <v>78</v>
      </c>
      <c r="E14" s="12">
        <v>0.5</v>
      </c>
      <c r="F14" s="12">
        <v>0.65680000000000005</v>
      </c>
      <c r="I14" s="12">
        <v>0.62470000000000003</v>
      </c>
      <c r="J14" s="12">
        <v>0.62749999999999995</v>
      </c>
    </row>
    <row r="15" spans="1:10" x14ac:dyDescent="0.35">
      <c r="A15" t="s">
        <v>90</v>
      </c>
      <c r="B15" t="s">
        <v>91</v>
      </c>
      <c r="C15" t="s">
        <v>63</v>
      </c>
      <c r="D15" t="s">
        <v>64</v>
      </c>
      <c r="E15" s="12">
        <v>0.48020000000000002</v>
      </c>
      <c r="G15" s="12">
        <v>0.71799999999999997</v>
      </c>
      <c r="H15" s="12"/>
      <c r="J15" s="12">
        <v>0.59470000000000001</v>
      </c>
    </row>
    <row r="16" spans="1:10" x14ac:dyDescent="0.35">
      <c r="A16" t="s">
        <v>92</v>
      </c>
      <c r="B16" t="s">
        <v>93</v>
      </c>
      <c r="C16" t="s">
        <v>63</v>
      </c>
      <c r="D16" t="s">
        <v>64</v>
      </c>
      <c r="F16" s="12"/>
      <c r="H16" s="12">
        <v>0.75490000000000002</v>
      </c>
      <c r="I16" s="12"/>
      <c r="J16" s="12">
        <v>0.75490000000000002</v>
      </c>
    </row>
    <row r="17" spans="1:10" x14ac:dyDescent="0.35">
      <c r="A17" t="s">
        <v>94</v>
      </c>
      <c r="B17" t="s">
        <v>95</v>
      </c>
      <c r="C17" t="s">
        <v>63</v>
      </c>
      <c r="D17" t="s">
        <v>64</v>
      </c>
      <c r="E17" s="12">
        <v>0.81</v>
      </c>
      <c r="H17" s="12">
        <v>0.93589999999999995</v>
      </c>
      <c r="J17" s="12">
        <v>0.81069999999999998</v>
      </c>
    </row>
    <row r="18" spans="1:10" x14ac:dyDescent="0.35">
      <c r="A18" t="s">
        <v>96</v>
      </c>
      <c r="B18" t="s">
        <v>97</v>
      </c>
      <c r="C18" t="s">
        <v>63</v>
      </c>
      <c r="D18" t="s">
        <v>64</v>
      </c>
      <c r="H18" s="12">
        <v>0.8105</v>
      </c>
      <c r="I18" s="12"/>
      <c r="J18" s="12">
        <v>0.8105</v>
      </c>
    </row>
    <row r="19" spans="1:10" x14ac:dyDescent="0.35">
      <c r="A19" t="s">
        <v>98</v>
      </c>
      <c r="B19" t="s">
        <v>99</v>
      </c>
      <c r="C19" t="s">
        <v>63</v>
      </c>
      <c r="D19" t="s">
        <v>64</v>
      </c>
      <c r="E19" s="12"/>
      <c r="H19" s="12">
        <v>0.83250000000000002</v>
      </c>
      <c r="J19" s="12">
        <v>0.83250000000000002</v>
      </c>
    </row>
    <row r="20" spans="1:10" x14ac:dyDescent="0.35">
      <c r="A20" t="s">
        <v>100</v>
      </c>
      <c r="B20" t="s">
        <v>77</v>
      </c>
      <c r="C20" t="s">
        <v>63</v>
      </c>
      <c r="D20" t="s">
        <v>64</v>
      </c>
      <c r="E20" s="12"/>
      <c r="G20" s="12"/>
      <c r="H20" s="12">
        <v>0.79100000000000004</v>
      </c>
      <c r="J20" s="12">
        <v>0.79100000000000004</v>
      </c>
    </row>
    <row r="21" spans="1:10" x14ac:dyDescent="0.35">
      <c r="A21" t="s">
        <v>101</v>
      </c>
      <c r="B21" t="s">
        <v>102</v>
      </c>
      <c r="C21" t="s">
        <v>63</v>
      </c>
      <c r="D21" t="s">
        <v>64</v>
      </c>
      <c r="E21" s="12"/>
      <c r="H21" s="12">
        <v>0.76770000000000005</v>
      </c>
      <c r="J21" s="12">
        <v>0.76770000000000005</v>
      </c>
    </row>
    <row r="22" spans="1:10" x14ac:dyDescent="0.35">
      <c r="A22" t="s">
        <v>103</v>
      </c>
      <c r="B22" t="s">
        <v>104</v>
      </c>
      <c r="C22" t="s">
        <v>63</v>
      </c>
      <c r="D22" t="s">
        <v>64</v>
      </c>
      <c r="E22" s="12"/>
      <c r="H22" s="12">
        <v>0.71150000000000002</v>
      </c>
      <c r="J22" s="12">
        <v>0.71150000000000002</v>
      </c>
    </row>
    <row r="23" spans="1:10" x14ac:dyDescent="0.35">
      <c r="A23" t="s">
        <v>105</v>
      </c>
      <c r="B23" t="s">
        <v>106</v>
      </c>
      <c r="C23" t="s">
        <v>86</v>
      </c>
      <c r="D23" t="s">
        <v>64</v>
      </c>
      <c r="H23" s="12">
        <v>0.64739999999999998</v>
      </c>
      <c r="J23" s="12">
        <v>0.64739999999999998</v>
      </c>
    </row>
    <row r="24" spans="1:10" x14ac:dyDescent="0.35">
      <c r="A24" t="s">
        <v>107</v>
      </c>
      <c r="B24" t="s">
        <v>108</v>
      </c>
      <c r="C24" t="s">
        <v>63</v>
      </c>
      <c r="D24" t="s">
        <v>109</v>
      </c>
      <c r="E24" s="12">
        <v>0.91669999999999996</v>
      </c>
      <c r="F24" s="12"/>
      <c r="G24" s="12">
        <v>0.89600000000000002</v>
      </c>
      <c r="H24" s="12"/>
      <c r="I24" s="12"/>
      <c r="J24" s="12">
        <v>0.89870000000000005</v>
      </c>
    </row>
    <row r="25" spans="1:10" x14ac:dyDescent="0.35">
      <c r="A25" t="s">
        <v>110</v>
      </c>
      <c r="B25" t="s">
        <v>111</v>
      </c>
      <c r="C25" t="s">
        <v>63</v>
      </c>
      <c r="D25" t="s">
        <v>64</v>
      </c>
      <c r="F25" s="12"/>
      <c r="H25" s="12">
        <v>0.34079999999999999</v>
      </c>
      <c r="J25" s="12">
        <v>0.34079999999999999</v>
      </c>
    </row>
    <row r="26" spans="1:10" x14ac:dyDescent="0.35">
      <c r="A26" t="s">
        <v>112</v>
      </c>
      <c r="B26" t="s">
        <v>113</v>
      </c>
      <c r="C26" t="s">
        <v>63</v>
      </c>
      <c r="D26" t="s">
        <v>109</v>
      </c>
      <c r="E26" s="12"/>
      <c r="H26" s="12">
        <v>0.80989999999999995</v>
      </c>
      <c r="J26" s="12">
        <v>0.80989999999999995</v>
      </c>
    </row>
    <row r="27" spans="1:10" x14ac:dyDescent="0.35">
      <c r="A27" t="s">
        <v>114</v>
      </c>
      <c r="B27" t="s">
        <v>115</v>
      </c>
      <c r="C27" t="s">
        <v>63</v>
      </c>
      <c r="D27" t="s">
        <v>64</v>
      </c>
      <c r="F27" s="12"/>
      <c r="H27" s="12">
        <v>0.62</v>
      </c>
      <c r="I27" s="12"/>
      <c r="J27" s="12">
        <v>0.62</v>
      </c>
    </row>
    <row r="28" spans="1:10" x14ac:dyDescent="0.35">
      <c r="A28" t="s">
        <v>116</v>
      </c>
      <c r="B28" t="s">
        <v>68</v>
      </c>
      <c r="C28" t="s">
        <v>63</v>
      </c>
      <c r="D28" t="s">
        <v>64</v>
      </c>
      <c r="F28" s="12"/>
      <c r="H28" s="12">
        <v>0.2351</v>
      </c>
      <c r="I28" s="12"/>
      <c r="J28" s="12">
        <v>0.2351</v>
      </c>
    </row>
    <row r="29" spans="1:10" x14ac:dyDescent="0.35">
      <c r="A29" t="s">
        <v>117</v>
      </c>
      <c r="B29" t="s">
        <v>118</v>
      </c>
      <c r="C29" t="s">
        <v>63</v>
      </c>
      <c r="D29" t="s">
        <v>73</v>
      </c>
      <c r="E29" s="12"/>
      <c r="H29" s="12">
        <v>0.37909999999999999</v>
      </c>
      <c r="J29" s="12">
        <v>0.37909999999999999</v>
      </c>
    </row>
    <row r="30" spans="1:10" x14ac:dyDescent="0.35">
      <c r="A30" t="s">
        <v>119</v>
      </c>
      <c r="B30" t="s">
        <v>120</v>
      </c>
      <c r="C30" t="s">
        <v>63</v>
      </c>
      <c r="D30" t="s">
        <v>64</v>
      </c>
      <c r="H30" s="12">
        <v>0.20200000000000001</v>
      </c>
      <c r="J30" s="12">
        <v>0.20200000000000001</v>
      </c>
    </row>
    <row r="31" spans="1:10" x14ac:dyDescent="0.35">
      <c r="A31" t="s">
        <v>121</v>
      </c>
      <c r="B31" t="s">
        <v>122</v>
      </c>
      <c r="C31" t="s">
        <v>63</v>
      </c>
      <c r="D31" t="s">
        <v>64</v>
      </c>
      <c r="H31" s="12">
        <v>0.47489999999999999</v>
      </c>
      <c r="J31" s="12">
        <v>0.47489999999999999</v>
      </c>
    </row>
    <row r="32" spans="1:10" x14ac:dyDescent="0.35">
      <c r="A32" t="s">
        <v>123</v>
      </c>
      <c r="B32" t="s">
        <v>122</v>
      </c>
      <c r="C32" t="s">
        <v>63</v>
      </c>
      <c r="D32" t="s">
        <v>64</v>
      </c>
      <c r="E32" s="12"/>
      <c r="F32" s="12"/>
      <c r="G32" s="12"/>
      <c r="H32" s="12">
        <v>0.54179999999999995</v>
      </c>
      <c r="J32" s="12">
        <v>0.54179999999999995</v>
      </c>
    </row>
    <row r="33" spans="1:10" x14ac:dyDescent="0.35">
      <c r="A33" t="s">
        <v>124</v>
      </c>
      <c r="B33" t="s">
        <v>122</v>
      </c>
      <c r="C33" t="s">
        <v>63</v>
      </c>
      <c r="D33" t="s">
        <v>64</v>
      </c>
      <c r="F33" s="12">
        <v>0.65900000000000003</v>
      </c>
      <c r="G33" s="12">
        <v>0.745</v>
      </c>
      <c r="H33" s="12">
        <v>0.66930000000000001</v>
      </c>
      <c r="I33" s="12">
        <v>0.58340000000000003</v>
      </c>
      <c r="J33" s="12">
        <v>0.65459999999999996</v>
      </c>
    </row>
    <row r="34" spans="1:10" x14ac:dyDescent="0.35">
      <c r="A34" t="s">
        <v>125</v>
      </c>
      <c r="B34" t="s">
        <v>122</v>
      </c>
      <c r="C34" t="s">
        <v>63</v>
      </c>
      <c r="D34" t="s">
        <v>64</v>
      </c>
      <c r="E34" s="12"/>
      <c r="F34" s="12"/>
      <c r="G34" s="12"/>
      <c r="H34" s="12">
        <v>0.72640000000000005</v>
      </c>
      <c r="I34" s="12"/>
      <c r="J34" s="12">
        <v>0.72640000000000005</v>
      </c>
    </row>
    <row r="35" spans="1:10" x14ac:dyDescent="0.35">
      <c r="A35" t="s">
        <v>126</v>
      </c>
      <c r="B35" t="s">
        <v>93</v>
      </c>
      <c r="C35" t="s">
        <v>86</v>
      </c>
      <c r="D35" t="s">
        <v>64</v>
      </c>
      <c r="H35" s="12">
        <v>0.8407</v>
      </c>
      <c r="J35" s="12">
        <v>0.8407</v>
      </c>
    </row>
    <row r="36" spans="1:10" x14ac:dyDescent="0.35">
      <c r="A36" t="s">
        <v>127</v>
      </c>
      <c r="B36" t="s">
        <v>93</v>
      </c>
      <c r="C36" t="s">
        <v>86</v>
      </c>
      <c r="D36" t="s">
        <v>64</v>
      </c>
      <c r="E36" s="12"/>
      <c r="H36" s="12">
        <v>0.87490000000000001</v>
      </c>
      <c r="I36" s="12"/>
      <c r="J36" s="12">
        <v>0.87490000000000001</v>
      </c>
    </row>
    <row r="37" spans="1:10" x14ac:dyDescent="0.35">
      <c r="A37" t="s">
        <v>128</v>
      </c>
      <c r="B37" t="s">
        <v>129</v>
      </c>
      <c r="C37" t="s">
        <v>63</v>
      </c>
      <c r="D37" t="s">
        <v>64</v>
      </c>
      <c r="G37" s="12"/>
      <c r="H37" s="12">
        <v>0.1216</v>
      </c>
      <c r="J37" s="12">
        <v>0.1216</v>
      </c>
    </row>
    <row r="38" spans="1:10" x14ac:dyDescent="0.35">
      <c r="A38" t="s">
        <v>130</v>
      </c>
      <c r="B38" t="s">
        <v>129</v>
      </c>
      <c r="C38" t="s">
        <v>63</v>
      </c>
      <c r="D38" t="s">
        <v>64</v>
      </c>
      <c r="H38" s="12">
        <v>0.63439999999999996</v>
      </c>
      <c r="J38" s="12">
        <v>0.63439999999999996</v>
      </c>
    </row>
    <row r="39" spans="1:10" x14ac:dyDescent="0.35">
      <c r="A39" t="s">
        <v>131</v>
      </c>
      <c r="B39" t="s">
        <v>129</v>
      </c>
      <c r="C39" t="s">
        <v>63</v>
      </c>
      <c r="D39" t="s">
        <v>64</v>
      </c>
      <c r="F39" s="12"/>
      <c r="H39" s="12">
        <v>0.47489999999999999</v>
      </c>
      <c r="I39" s="12"/>
      <c r="J39" s="12">
        <v>0.47489999999999999</v>
      </c>
    </row>
    <row r="40" spans="1:10" x14ac:dyDescent="0.35">
      <c r="A40" t="s">
        <v>132</v>
      </c>
      <c r="B40" t="s">
        <v>133</v>
      </c>
      <c r="C40" t="s">
        <v>86</v>
      </c>
      <c r="D40" t="s">
        <v>64</v>
      </c>
      <c r="E40" s="12">
        <v>0.4667</v>
      </c>
      <c r="G40" s="12">
        <v>0.63819999999999999</v>
      </c>
      <c r="H40" s="12">
        <v>0.86960000000000004</v>
      </c>
      <c r="I40" s="12">
        <v>0.5</v>
      </c>
      <c r="J40" s="12">
        <v>0.52939999999999998</v>
      </c>
    </row>
    <row r="41" spans="1:10" x14ac:dyDescent="0.35">
      <c r="A41" t="s">
        <v>134</v>
      </c>
      <c r="B41" t="s">
        <v>135</v>
      </c>
      <c r="C41" t="s">
        <v>63</v>
      </c>
      <c r="D41" t="s">
        <v>64</v>
      </c>
      <c r="E41" s="12">
        <v>0.2707</v>
      </c>
      <c r="F41" s="12">
        <v>0.6</v>
      </c>
      <c r="G41" s="12">
        <v>0.57769999999999999</v>
      </c>
      <c r="H41" s="12">
        <v>0.66859999999999997</v>
      </c>
      <c r="I41" s="12">
        <v>0.63329999999999997</v>
      </c>
      <c r="J41" s="12">
        <v>0.31900000000000001</v>
      </c>
    </row>
    <row r="42" spans="1:10" x14ac:dyDescent="0.35">
      <c r="A42" t="s">
        <v>136</v>
      </c>
      <c r="B42" t="s">
        <v>137</v>
      </c>
      <c r="C42" t="s">
        <v>63</v>
      </c>
      <c r="D42" t="s">
        <v>64</v>
      </c>
      <c r="E42" s="12">
        <v>0.22159999999999999</v>
      </c>
      <c r="F42" s="12">
        <v>0.68659999999999999</v>
      </c>
      <c r="G42" s="12">
        <v>1</v>
      </c>
      <c r="H42" s="12">
        <v>1</v>
      </c>
      <c r="I42" s="12">
        <v>0.64680000000000004</v>
      </c>
      <c r="J42" s="12">
        <v>0.26900000000000002</v>
      </c>
    </row>
    <row r="43" spans="1:10" x14ac:dyDescent="0.35">
      <c r="A43" t="s">
        <v>138</v>
      </c>
      <c r="B43" t="s">
        <v>137</v>
      </c>
      <c r="C43" t="s">
        <v>63</v>
      </c>
      <c r="D43" t="s">
        <v>64</v>
      </c>
      <c r="E43" s="12">
        <v>0.42480000000000001</v>
      </c>
      <c r="F43" s="12">
        <v>0</v>
      </c>
      <c r="G43" s="12">
        <v>0.52929999999999999</v>
      </c>
      <c r="H43" s="12">
        <v>0.51659999999999995</v>
      </c>
      <c r="I43" s="12">
        <v>0.56520000000000004</v>
      </c>
      <c r="J43" s="12">
        <v>0.43190000000000001</v>
      </c>
    </row>
    <row r="44" spans="1:10" x14ac:dyDescent="0.35">
      <c r="A44" t="s">
        <v>139</v>
      </c>
      <c r="B44" t="s">
        <v>68</v>
      </c>
      <c r="C44" t="s">
        <v>63</v>
      </c>
      <c r="D44" t="s">
        <v>64</v>
      </c>
      <c r="H44" s="12">
        <v>0.31369999999999998</v>
      </c>
      <c r="J44" s="12">
        <v>0.31369999999999998</v>
      </c>
    </row>
    <row r="45" spans="1:10" x14ac:dyDescent="0.35">
      <c r="A45" t="s">
        <v>140</v>
      </c>
      <c r="B45" t="s">
        <v>141</v>
      </c>
      <c r="C45" t="s">
        <v>86</v>
      </c>
      <c r="D45" t="s">
        <v>64</v>
      </c>
      <c r="H45" s="12">
        <v>0.27500000000000002</v>
      </c>
      <c r="J45" s="12">
        <v>0.27500000000000002</v>
      </c>
    </row>
    <row r="46" spans="1:10" x14ac:dyDescent="0.35">
      <c r="A46" t="s">
        <v>142</v>
      </c>
      <c r="B46" t="s">
        <v>143</v>
      </c>
      <c r="C46" t="s">
        <v>86</v>
      </c>
      <c r="D46" t="s">
        <v>64</v>
      </c>
      <c r="H46" s="12">
        <v>0.41620000000000001</v>
      </c>
      <c r="J46" s="12">
        <v>0.41620000000000001</v>
      </c>
    </row>
    <row r="47" spans="1:10" x14ac:dyDescent="0.35">
      <c r="A47" t="s">
        <v>144</v>
      </c>
      <c r="B47" t="s">
        <v>145</v>
      </c>
      <c r="C47" t="s">
        <v>63</v>
      </c>
      <c r="D47" t="s">
        <v>64</v>
      </c>
      <c r="G47" s="12">
        <v>0.70450000000000002</v>
      </c>
      <c r="J47" s="12">
        <v>0.70450000000000002</v>
      </c>
    </row>
    <row r="48" spans="1:10" x14ac:dyDescent="0.35">
      <c r="A48" t="s">
        <v>146</v>
      </c>
      <c r="B48" t="s">
        <v>147</v>
      </c>
      <c r="C48" t="s">
        <v>63</v>
      </c>
      <c r="D48" t="s">
        <v>109</v>
      </c>
      <c r="E48" s="12">
        <v>0.91800000000000004</v>
      </c>
      <c r="J48" s="12">
        <v>0.91800000000000004</v>
      </c>
    </row>
    <row r="49" spans="1:10" x14ac:dyDescent="0.35">
      <c r="A49" t="s">
        <v>148</v>
      </c>
      <c r="B49" t="s">
        <v>77</v>
      </c>
      <c r="C49" t="s">
        <v>63</v>
      </c>
      <c r="D49" t="s">
        <v>109</v>
      </c>
      <c r="H49" s="12">
        <v>0.75139999999999996</v>
      </c>
      <c r="J49" s="12">
        <v>0.75139999999999996</v>
      </c>
    </row>
    <row r="50" spans="1:10" x14ac:dyDescent="0.35">
      <c r="A50" t="s">
        <v>149</v>
      </c>
      <c r="B50" t="s">
        <v>150</v>
      </c>
      <c r="C50" t="s">
        <v>63</v>
      </c>
      <c r="D50" t="s">
        <v>64</v>
      </c>
      <c r="F50" s="12">
        <v>0.82289999999999996</v>
      </c>
      <c r="H50" s="12">
        <v>0.61960000000000004</v>
      </c>
      <c r="I50" s="12">
        <v>0.66669999999999996</v>
      </c>
      <c r="J50" s="12">
        <v>0.73740000000000006</v>
      </c>
    </row>
    <row r="51" spans="1:10" x14ac:dyDescent="0.35">
      <c r="A51" t="s">
        <v>151</v>
      </c>
      <c r="B51" t="s">
        <v>152</v>
      </c>
      <c r="C51" t="s">
        <v>63</v>
      </c>
      <c r="D51" t="s">
        <v>64</v>
      </c>
      <c r="E51" s="12">
        <v>0.77510000000000001</v>
      </c>
      <c r="H51" s="12">
        <v>0.59260000000000002</v>
      </c>
      <c r="J51" s="12">
        <v>0.77500000000000002</v>
      </c>
    </row>
    <row r="52" spans="1:10" x14ac:dyDescent="0.35">
      <c r="A52" t="s">
        <v>153</v>
      </c>
      <c r="B52" t="s">
        <v>77</v>
      </c>
      <c r="C52" t="s">
        <v>86</v>
      </c>
      <c r="D52" t="s">
        <v>64</v>
      </c>
      <c r="H52" s="12">
        <v>0.50729999999999997</v>
      </c>
      <c r="J52" s="12">
        <v>0.50729999999999997</v>
      </c>
    </row>
    <row r="53" spans="1:10" x14ac:dyDescent="0.35">
      <c r="A53" t="s">
        <v>154</v>
      </c>
      <c r="B53" t="s">
        <v>155</v>
      </c>
      <c r="C53" t="s">
        <v>63</v>
      </c>
      <c r="D53" t="s">
        <v>64</v>
      </c>
      <c r="H53" s="12">
        <v>0.90380000000000005</v>
      </c>
      <c r="J53" s="12">
        <v>0.90380000000000005</v>
      </c>
    </row>
    <row r="54" spans="1:10" x14ac:dyDescent="0.35">
      <c r="A54" t="s">
        <v>156</v>
      </c>
      <c r="B54" t="s">
        <v>77</v>
      </c>
      <c r="D54" t="s">
        <v>64</v>
      </c>
      <c r="J54" s="12">
        <v>0</v>
      </c>
    </row>
    <row r="55" spans="1:10" x14ac:dyDescent="0.35">
      <c r="A55" t="s">
        <v>157</v>
      </c>
      <c r="B55" t="s">
        <v>68</v>
      </c>
      <c r="C55" t="s">
        <v>63</v>
      </c>
      <c r="D55" t="s">
        <v>64</v>
      </c>
      <c r="H55" s="12">
        <v>0.24990000000000001</v>
      </c>
      <c r="J55" s="12">
        <v>0.24990000000000001</v>
      </c>
    </row>
    <row r="56" spans="1:10" x14ac:dyDescent="0.35">
      <c r="A56" t="s">
        <v>158</v>
      </c>
      <c r="B56" t="s">
        <v>159</v>
      </c>
      <c r="C56" t="s">
        <v>63</v>
      </c>
      <c r="D56" t="s">
        <v>78</v>
      </c>
      <c r="H56" s="12">
        <v>0.67379999999999995</v>
      </c>
      <c r="J56" s="12">
        <v>0.67379999999999995</v>
      </c>
    </row>
    <row r="57" spans="1:10" x14ac:dyDescent="0.35">
      <c r="A57" t="s">
        <v>160</v>
      </c>
      <c r="B57" t="s">
        <v>77</v>
      </c>
      <c r="C57" t="s">
        <v>63</v>
      </c>
      <c r="D57" t="s">
        <v>64</v>
      </c>
      <c r="H57" s="12">
        <v>0.78280000000000005</v>
      </c>
      <c r="J57" s="12">
        <v>0.78280000000000005</v>
      </c>
    </row>
    <row r="58" spans="1:10" x14ac:dyDescent="0.35">
      <c r="A58" t="s">
        <v>161</v>
      </c>
      <c r="B58" t="s">
        <v>162</v>
      </c>
      <c r="C58" t="s">
        <v>63</v>
      </c>
      <c r="D58" t="s">
        <v>64</v>
      </c>
      <c r="E58" s="12">
        <v>0.59970000000000001</v>
      </c>
      <c r="G58" s="12">
        <v>0.73799999999999999</v>
      </c>
      <c r="J58" s="12">
        <v>0.68610000000000004</v>
      </c>
    </row>
    <row r="59" spans="1:10" x14ac:dyDescent="0.35">
      <c r="A59" t="s">
        <v>163</v>
      </c>
      <c r="B59" t="s">
        <v>164</v>
      </c>
      <c r="C59" t="s">
        <v>63</v>
      </c>
      <c r="D59" t="s">
        <v>64</v>
      </c>
      <c r="H59" s="12">
        <v>0.78149999999999997</v>
      </c>
      <c r="J59" s="12">
        <v>0.78149999999999997</v>
      </c>
    </row>
    <row r="60" spans="1:10" x14ac:dyDescent="0.35">
      <c r="A60" t="s">
        <v>165</v>
      </c>
      <c r="B60" t="s">
        <v>166</v>
      </c>
      <c r="C60" t="s">
        <v>63</v>
      </c>
      <c r="D60" t="s">
        <v>64</v>
      </c>
      <c r="E60" s="12">
        <v>0.57679999999999998</v>
      </c>
      <c r="J60" s="12">
        <v>0.57679999999999998</v>
      </c>
    </row>
    <row r="61" spans="1:10" x14ac:dyDescent="0.35">
      <c r="A61" t="s">
        <v>167</v>
      </c>
      <c r="B61" t="s">
        <v>168</v>
      </c>
      <c r="C61" t="s">
        <v>63</v>
      </c>
      <c r="D61" t="s">
        <v>73</v>
      </c>
      <c r="E61" s="12">
        <v>0.68500000000000005</v>
      </c>
      <c r="H61" s="12">
        <v>0.2</v>
      </c>
      <c r="J61" s="12">
        <v>0.67879999999999996</v>
      </c>
    </row>
    <row r="62" spans="1:10" x14ac:dyDescent="0.35">
      <c r="A62" t="s">
        <v>169</v>
      </c>
      <c r="B62" t="s">
        <v>170</v>
      </c>
      <c r="C62" t="s">
        <v>86</v>
      </c>
      <c r="D62" t="s">
        <v>78</v>
      </c>
      <c r="E62" s="12">
        <v>0.4753</v>
      </c>
      <c r="G62" s="12">
        <v>0.79600000000000004</v>
      </c>
      <c r="H62" s="12">
        <v>0.5</v>
      </c>
      <c r="I62" s="12">
        <v>1</v>
      </c>
      <c r="J62" s="12">
        <v>0.49569999999999997</v>
      </c>
    </row>
    <row r="63" spans="1:10" x14ac:dyDescent="0.35">
      <c r="A63" t="s">
        <v>171</v>
      </c>
      <c r="B63" t="s">
        <v>172</v>
      </c>
      <c r="C63" t="s">
        <v>63</v>
      </c>
      <c r="D63" t="s">
        <v>64</v>
      </c>
      <c r="F63" s="12">
        <v>0.73609999999999998</v>
      </c>
      <c r="I63" s="12">
        <v>0.85429999999999995</v>
      </c>
      <c r="J63" s="12">
        <v>0.84309999999999996</v>
      </c>
    </row>
    <row r="64" spans="1:10" x14ac:dyDescent="0.35">
      <c r="A64" t="s">
        <v>173</v>
      </c>
      <c r="B64" t="s">
        <v>174</v>
      </c>
      <c r="C64" t="s">
        <v>63</v>
      </c>
      <c r="D64" t="s">
        <v>64</v>
      </c>
      <c r="H64" s="12">
        <v>0.51849999999999996</v>
      </c>
      <c r="J64" s="12">
        <v>0.51849999999999996</v>
      </c>
    </row>
    <row r="65" spans="1:10" x14ac:dyDescent="0.35">
      <c r="A65" t="s">
        <v>175</v>
      </c>
      <c r="B65" t="s">
        <v>176</v>
      </c>
      <c r="C65" t="s">
        <v>63</v>
      </c>
      <c r="D65" t="s">
        <v>64</v>
      </c>
      <c r="G65" s="12">
        <v>0.94640000000000002</v>
      </c>
      <c r="H65" s="12">
        <v>0.9385</v>
      </c>
      <c r="J65" s="12">
        <v>0.94469999999999998</v>
      </c>
    </row>
    <row r="66" spans="1:10" x14ac:dyDescent="0.35">
      <c r="A66" t="s">
        <v>177</v>
      </c>
      <c r="B66" t="s">
        <v>178</v>
      </c>
      <c r="C66" t="s">
        <v>63</v>
      </c>
      <c r="D66" t="s">
        <v>64</v>
      </c>
      <c r="F66" s="12">
        <v>0.39100000000000001</v>
      </c>
      <c r="H66" s="12">
        <v>0.66259999999999997</v>
      </c>
      <c r="I66" s="12">
        <v>0.76670000000000005</v>
      </c>
      <c r="J66" s="12">
        <v>0.5171</v>
      </c>
    </row>
    <row r="67" spans="1:10" x14ac:dyDescent="0.35">
      <c r="A67" t="s">
        <v>179</v>
      </c>
      <c r="B67" t="s">
        <v>180</v>
      </c>
      <c r="C67" t="s">
        <v>63</v>
      </c>
      <c r="D67" t="s">
        <v>64</v>
      </c>
      <c r="E67" s="12">
        <v>0.5806</v>
      </c>
      <c r="F67" s="12">
        <v>0.75</v>
      </c>
      <c r="G67" s="12">
        <v>0.77669999999999995</v>
      </c>
      <c r="H67" s="12">
        <v>0.69230000000000003</v>
      </c>
      <c r="I67" s="12">
        <v>0.70299999999999996</v>
      </c>
      <c r="J67" s="12">
        <v>0.60089999999999999</v>
      </c>
    </row>
    <row r="68" spans="1:10" x14ac:dyDescent="0.35">
      <c r="A68" t="s">
        <v>181</v>
      </c>
      <c r="B68" t="s">
        <v>182</v>
      </c>
      <c r="C68" t="s">
        <v>86</v>
      </c>
      <c r="D68" t="s">
        <v>64</v>
      </c>
      <c r="H68" s="12">
        <v>0.7591</v>
      </c>
      <c r="J68" s="12">
        <v>0.7591</v>
      </c>
    </row>
    <row r="69" spans="1:10" x14ac:dyDescent="0.35">
      <c r="A69" t="s">
        <v>183</v>
      </c>
      <c r="B69" t="s">
        <v>184</v>
      </c>
      <c r="C69" t="s">
        <v>86</v>
      </c>
      <c r="D69" t="s">
        <v>64</v>
      </c>
      <c r="E69" s="12">
        <v>0.39369999999999999</v>
      </c>
      <c r="G69" s="12">
        <v>0.46989999999999998</v>
      </c>
      <c r="H69" s="12">
        <v>1</v>
      </c>
      <c r="I69" s="12">
        <v>1</v>
      </c>
      <c r="J69" s="12">
        <v>0.40770000000000001</v>
      </c>
    </row>
    <row r="70" spans="1:10" x14ac:dyDescent="0.35">
      <c r="A70" t="s">
        <v>185</v>
      </c>
      <c r="B70" t="s">
        <v>186</v>
      </c>
      <c r="C70" t="s">
        <v>63</v>
      </c>
      <c r="D70" t="s">
        <v>64</v>
      </c>
      <c r="E70" s="12">
        <v>0.81310000000000004</v>
      </c>
      <c r="J70" s="12">
        <v>0.81310000000000004</v>
      </c>
    </row>
    <row r="71" spans="1:10" x14ac:dyDescent="0.35">
      <c r="A71" t="s">
        <v>187</v>
      </c>
      <c r="B71" t="s">
        <v>188</v>
      </c>
      <c r="C71" t="s">
        <v>63</v>
      </c>
      <c r="D71" t="s">
        <v>64</v>
      </c>
      <c r="E71" s="12">
        <v>0.97360000000000002</v>
      </c>
      <c r="G71" s="12">
        <v>0.83330000000000004</v>
      </c>
      <c r="J71" s="12">
        <v>0.97209999999999996</v>
      </c>
    </row>
    <row r="72" spans="1:10" x14ac:dyDescent="0.35">
      <c r="A72" t="s">
        <v>189</v>
      </c>
      <c r="B72" t="s">
        <v>190</v>
      </c>
      <c r="C72" t="s">
        <v>63</v>
      </c>
      <c r="D72" t="s">
        <v>78</v>
      </c>
      <c r="H72" s="12">
        <v>0.2392</v>
      </c>
      <c r="J72" s="12">
        <v>0.2392</v>
      </c>
    </row>
    <row r="73" spans="1:10" x14ac:dyDescent="0.35">
      <c r="A73" t="s">
        <v>191</v>
      </c>
      <c r="B73" t="s">
        <v>135</v>
      </c>
      <c r="C73" t="s">
        <v>63</v>
      </c>
      <c r="D73" t="s">
        <v>64</v>
      </c>
      <c r="F73" s="12">
        <v>0.40079999999999999</v>
      </c>
      <c r="J73" s="12">
        <v>0.40079999999999999</v>
      </c>
    </row>
    <row r="74" spans="1:10" x14ac:dyDescent="0.35">
      <c r="A74" t="s">
        <v>192</v>
      </c>
      <c r="B74" t="s">
        <v>193</v>
      </c>
      <c r="C74" t="s">
        <v>63</v>
      </c>
      <c r="D74" t="s">
        <v>78</v>
      </c>
      <c r="G74" s="12">
        <v>0.80789999999999995</v>
      </c>
      <c r="J74" s="12">
        <v>0.80789999999999995</v>
      </c>
    </row>
    <row r="75" spans="1:10" x14ac:dyDescent="0.35">
      <c r="A75" t="s">
        <v>194</v>
      </c>
      <c r="B75" t="s">
        <v>135</v>
      </c>
      <c r="C75" t="s">
        <v>63</v>
      </c>
      <c r="D75" t="s">
        <v>64</v>
      </c>
      <c r="F75" s="12">
        <v>0.54079999999999995</v>
      </c>
      <c r="I75" s="12">
        <v>0.54679999999999995</v>
      </c>
      <c r="J75" s="12">
        <v>0.54339999999999999</v>
      </c>
    </row>
    <row r="76" spans="1:10" x14ac:dyDescent="0.35">
      <c r="A76" t="s">
        <v>195</v>
      </c>
      <c r="B76" t="s">
        <v>135</v>
      </c>
      <c r="C76" t="s">
        <v>63</v>
      </c>
      <c r="D76" t="s">
        <v>64</v>
      </c>
      <c r="F76" s="12">
        <v>0.34029999999999999</v>
      </c>
      <c r="J76" s="12">
        <v>0.34029999999999999</v>
      </c>
    </row>
    <row r="77" spans="1:10" x14ac:dyDescent="0.35">
      <c r="A77" t="s">
        <v>196</v>
      </c>
      <c r="B77" t="s">
        <v>197</v>
      </c>
      <c r="C77" t="s">
        <v>63</v>
      </c>
      <c r="D77" t="s">
        <v>64</v>
      </c>
      <c r="F77" s="12">
        <v>1</v>
      </c>
      <c r="I77" s="12">
        <v>0.61550000000000005</v>
      </c>
      <c r="J77" s="12">
        <v>0.61699999999999999</v>
      </c>
    </row>
    <row r="78" spans="1:10" x14ac:dyDescent="0.35">
      <c r="A78" t="s">
        <v>198</v>
      </c>
      <c r="B78" t="s">
        <v>199</v>
      </c>
      <c r="C78" t="s">
        <v>63</v>
      </c>
      <c r="D78" t="s">
        <v>64</v>
      </c>
      <c r="H78" s="12">
        <v>0.78210000000000002</v>
      </c>
      <c r="J78" s="12">
        <v>0.78210000000000002</v>
      </c>
    </row>
    <row r="79" spans="1:10" x14ac:dyDescent="0.35">
      <c r="A79" t="s">
        <v>200</v>
      </c>
      <c r="B79" t="s">
        <v>201</v>
      </c>
      <c r="C79" t="s">
        <v>63</v>
      </c>
      <c r="D79" t="s">
        <v>64</v>
      </c>
      <c r="H79" s="12">
        <v>0.50619999999999998</v>
      </c>
      <c r="J79" s="12">
        <v>0.50619999999999998</v>
      </c>
    </row>
    <row r="80" spans="1:10" x14ac:dyDescent="0.35">
      <c r="A80" t="s">
        <v>202</v>
      </c>
      <c r="B80" t="s">
        <v>203</v>
      </c>
      <c r="C80" t="s">
        <v>63</v>
      </c>
      <c r="D80" t="s">
        <v>64</v>
      </c>
      <c r="I80" s="12">
        <v>0.39489999999999997</v>
      </c>
      <c r="J80" s="12">
        <v>0.39489999999999997</v>
      </c>
    </row>
    <row r="81" spans="1:10" x14ac:dyDescent="0.35">
      <c r="A81" t="s">
        <v>204</v>
      </c>
      <c r="B81" t="s">
        <v>75</v>
      </c>
      <c r="C81" t="s">
        <v>86</v>
      </c>
      <c r="D81" t="s">
        <v>64</v>
      </c>
      <c r="H81" s="12">
        <v>0.46010000000000001</v>
      </c>
      <c r="J81" s="12">
        <v>0.46010000000000001</v>
      </c>
    </row>
    <row r="82" spans="1:10" x14ac:dyDescent="0.35">
      <c r="A82" t="s">
        <v>205</v>
      </c>
      <c r="B82" t="s">
        <v>77</v>
      </c>
      <c r="C82" t="s">
        <v>63</v>
      </c>
      <c r="D82" t="s">
        <v>109</v>
      </c>
      <c r="H82" s="12">
        <v>0.70089999999999997</v>
      </c>
      <c r="J82" s="12">
        <v>0.70089999999999997</v>
      </c>
    </row>
    <row r="83" spans="1:10" x14ac:dyDescent="0.35">
      <c r="A83" t="s">
        <v>206</v>
      </c>
      <c r="B83" t="s">
        <v>77</v>
      </c>
      <c r="C83" t="s">
        <v>63</v>
      </c>
      <c r="D83" t="s">
        <v>64</v>
      </c>
      <c r="H83" s="12">
        <v>0.5423</v>
      </c>
      <c r="J83" s="12">
        <v>0.5423</v>
      </c>
    </row>
    <row r="84" spans="1:10" x14ac:dyDescent="0.35">
      <c r="A84" t="s">
        <v>207</v>
      </c>
      <c r="B84" t="s">
        <v>77</v>
      </c>
      <c r="C84" t="s">
        <v>63</v>
      </c>
      <c r="D84" t="s">
        <v>64</v>
      </c>
      <c r="H84" s="12">
        <v>0.13519999999999999</v>
      </c>
      <c r="J84" s="12">
        <v>0.13519999999999999</v>
      </c>
    </row>
    <row r="85" spans="1:10" x14ac:dyDescent="0.35">
      <c r="A85" t="s">
        <v>208</v>
      </c>
      <c r="B85" t="s">
        <v>209</v>
      </c>
      <c r="C85" t="s">
        <v>63</v>
      </c>
      <c r="D85" t="s">
        <v>78</v>
      </c>
      <c r="H85" s="12">
        <v>1</v>
      </c>
      <c r="J85" s="12">
        <v>1</v>
      </c>
    </row>
    <row r="86" spans="1:10" x14ac:dyDescent="0.35">
      <c r="A86" t="s">
        <v>210</v>
      </c>
      <c r="B86" t="s">
        <v>77</v>
      </c>
      <c r="C86" t="s">
        <v>63</v>
      </c>
      <c r="D86" t="s">
        <v>64</v>
      </c>
      <c r="H86" s="12">
        <v>0.59330000000000005</v>
      </c>
      <c r="J86" s="12">
        <v>0.59330000000000005</v>
      </c>
    </row>
    <row r="87" spans="1:10" x14ac:dyDescent="0.35">
      <c r="A87" t="s">
        <v>211</v>
      </c>
      <c r="B87" t="s">
        <v>212</v>
      </c>
      <c r="C87" t="s">
        <v>63</v>
      </c>
      <c r="D87" t="s">
        <v>64</v>
      </c>
      <c r="E87" s="12">
        <v>0.4662</v>
      </c>
      <c r="I87" s="12">
        <v>0.56969999999999998</v>
      </c>
      <c r="J87" s="12">
        <v>0.52239999999999998</v>
      </c>
    </row>
    <row r="88" spans="1:10" x14ac:dyDescent="0.35">
      <c r="A88" t="s">
        <v>213</v>
      </c>
      <c r="B88" t="s">
        <v>214</v>
      </c>
      <c r="C88" t="s">
        <v>63</v>
      </c>
      <c r="D88" t="s">
        <v>64</v>
      </c>
      <c r="E88" s="12">
        <v>0.503</v>
      </c>
      <c r="J88" s="12">
        <v>0.503</v>
      </c>
    </row>
    <row r="89" spans="1:10" x14ac:dyDescent="0.35">
      <c r="A89" t="s">
        <v>215</v>
      </c>
      <c r="B89" t="s">
        <v>216</v>
      </c>
      <c r="C89" t="s">
        <v>63</v>
      </c>
      <c r="D89" t="s">
        <v>64</v>
      </c>
      <c r="F89" s="12">
        <v>0.67279999999999995</v>
      </c>
      <c r="J89" s="12">
        <v>0.67279999999999995</v>
      </c>
    </row>
    <row r="90" spans="1:10" x14ac:dyDescent="0.35">
      <c r="A90" t="s">
        <v>217</v>
      </c>
      <c r="B90" t="s">
        <v>216</v>
      </c>
      <c r="C90" t="s">
        <v>63</v>
      </c>
      <c r="D90" t="s">
        <v>64</v>
      </c>
      <c r="F90" s="12">
        <v>0.65549999999999997</v>
      </c>
      <c r="I90" s="12">
        <v>0.71609999999999996</v>
      </c>
      <c r="J90" s="12">
        <v>0.6946</v>
      </c>
    </row>
    <row r="91" spans="1:10" x14ac:dyDescent="0.35">
      <c r="A91" t="s">
        <v>218</v>
      </c>
      <c r="B91" t="s">
        <v>219</v>
      </c>
      <c r="C91" t="s">
        <v>63</v>
      </c>
      <c r="D91" t="s">
        <v>64</v>
      </c>
      <c r="H91" s="12">
        <v>0.42309999999999998</v>
      </c>
      <c r="J91" s="12">
        <v>0.42309999999999998</v>
      </c>
    </row>
    <row r="92" spans="1:10" x14ac:dyDescent="0.35">
      <c r="A92" t="s">
        <v>220</v>
      </c>
      <c r="B92" t="s">
        <v>91</v>
      </c>
      <c r="C92" t="s">
        <v>63</v>
      </c>
      <c r="D92" t="s">
        <v>64</v>
      </c>
      <c r="H92" s="12">
        <v>0.61109999999999998</v>
      </c>
      <c r="J92" s="12">
        <v>0.61109999999999998</v>
      </c>
    </row>
    <row r="93" spans="1:10" x14ac:dyDescent="0.35">
      <c r="A93" t="s">
        <v>221</v>
      </c>
      <c r="B93" t="s">
        <v>222</v>
      </c>
      <c r="C93" t="s">
        <v>63</v>
      </c>
      <c r="D93" t="s">
        <v>64</v>
      </c>
      <c r="F93" s="12">
        <v>0.57140000000000002</v>
      </c>
      <c r="H93" s="12">
        <v>0.63890000000000002</v>
      </c>
      <c r="I93" s="12">
        <v>0.54349999999999998</v>
      </c>
      <c r="J93" s="12">
        <v>0.55059999999999998</v>
      </c>
    </row>
    <row r="94" spans="1:10" x14ac:dyDescent="0.35">
      <c r="A94" t="s">
        <v>223</v>
      </c>
      <c r="B94" t="s">
        <v>224</v>
      </c>
      <c r="C94" t="s">
        <v>63</v>
      </c>
      <c r="D94" t="s">
        <v>64</v>
      </c>
      <c r="H94" s="12">
        <v>0.76370000000000005</v>
      </c>
      <c r="J94" s="12">
        <v>0.76370000000000005</v>
      </c>
    </row>
    <row r="95" spans="1:10" x14ac:dyDescent="0.35">
      <c r="A95" t="s">
        <v>225</v>
      </c>
      <c r="B95" t="s">
        <v>77</v>
      </c>
      <c r="C95" t="s">
        <v>63</v>
      </c>
      <c r="D95" t="s">
        <v>64</v>
      </c>
      <c r="I95" s="12">
        <v>0.92310000000000003</v>
      </c>
      <c r="J95" s="12">
        <v>0.92310000000000003</v>
      </c>
    </row>
    <row r="96" spans="1:10" x14ac:dyDescent="0.35">
      <c r="A96" t="s">
        <v>226</v>
      </c>
      <c r="B96" t="s">
        <v>135</v>
      </c>
      <c r="C96" t="s">
        <v>63</v>
      </c>
      <c r="D96" t="s">
        <v>64</v>
      </c>
      <c r="F96" s="12">
        <v>0.5</v>
      </c>
      <c r="I96" s="12">
        <v>0.34760000000000002</v>
      </c>
      <c r="J96" s="12">
        <v>0.35909999999999997</v>
      </c>
    </row>
    <row r="97" spans="1:10" x14ac:dyDescent="0.35">
      <c r="A97" t="s">
        <v>227</v>
      </c>
      <c r="B97" t="s">
        <v>228</v>
      </c>
      <c r="C97" t="s">
        <v>63</v>
      </c>
      <c r="D97" t="s">
        <v>64</v>
      </c>
      <c r="F97" s="12">
        <v>0.77910000000000001</v>
      </c>
      <c r="I97" s="12">
        <v>0.68200000000000005</v>
      </c>
      <c r="J97" s="12">
        <v>0.7107</v>
      </c>
    </row>
    <row r="98" spans="1:10" x14ac:dyDescent="0.35">
      <c r="A98" t="s">
        <v>229</v>
      </c>
      <c r="B98" t="s">
        <v>230</v>
      </c>
      <c r="C98" t="s">
        <v>86</v>
      </c>
      <c r="D98" t="s">
        <v>64</v>
      </c>
      <c r="H98" s="12">
        <v>0.68579999999999997</v>
      </c>
      <c r="J98" s="12">
        <v>0.68579999999999997</v>
      </c>
    </row>
    <row r="99" spans="1:10" x14ac:dyDescent="0.35">
      <c r="A99" t="s">
        <v>231</v>
      </c>
      <c r="B99" t="s">
        <v>135</v>
      </c>
      <c r="C99" t="s">
        <v>63</v>
      </c>
      <c r="D99" t="s">
        <v>64</v>
      </c>
      <c r="I99" s="12">
        <v>0.60699999999999998</v>
      </c>
      <c r="J99" s="12">
        <v>0.60699999999999998</v>
      </c>
    </row>
    <row r="100" spans="1:10" x14ac:dyDescent="0.35">
      <c r="A100" t="s">
        <v>232</v>
      </c>
      <c r="B100" t="s">
        <v>233</v>
      </c>
      <c r="C100" t="s">
        <v>63</v>
      </c>
      <c r="D100" t="s">
        <v>64</v>
      </c>
      <c r="H100" s="12">
        <v>0.89659999999999995</v>
      </c>
      <c r="J100" s="12">
        <v>0.89659999999999995</v>
      </c>
    </row>
    <row r="101" spans="1:10" x14ac:dyDescent="0.35">
      <c r="A101" t="s">
        <v>234</v>
      </c>
      <c r="B101" t="s">
        <v>93</v>
      </c>
      <c r="C101" t="s">
        <v>63</v>
      </c>
      <c r="D101" t="s">
        <v>64</v>
      </c>
      <c r="H101" s="12">
        <v>0.57099999999999995</v>
      </c>
      <c r="J101" s="12">
        <v>0.57099999999999995</v>
      </c>
    </row>
    <row r="102" spans="1:10" x14ac:dyDescent="0.35">
      <c r="A102" t="s">
        <v>235</v>
      </c>
      <c r="B102" t="s">
        <v>236</v>
      </c>
      <c r="C102" t="s">
        <v>63</v>
      </c>
      <c r="D102" t="s">
        <v>237</v>
      </c>
      <c r="E102" s="12">
        <v>0.63139999999999996</v>
      </c>
      <c r="J102" s="12">
        <v>0.63139999999999996</v>
      </c>
    </row>
    <row r="103" spans="1:10" x14ac:dyDescent="0.35">
      <c r="A103" t="s">
        <v>238</v>
      </c>
      <c r="B103" t="s">
        <v>77</v>
      </c>
      <c r="C103" t="s">
        <v>63</v>
      </c>
      <c r="D103" t="s">
        <v>64</v>
      </c>
      <c r="H103" s="12">
        <v>0.1847</v>
      </c>
      <c r="J103" s="12">
        <v>0.1847</v>
      </c>
    </row>
    <row r="104" spans="1:10" x14ac:dyDescent="0.35">
      <c r="A104" t="s">
        <v>239</v>
      </c>
      <c r="B104" t="s">
        <v>240</v>
      </c>
      <c r="C104" t="s">
        <v>63</v>
      </c>
      <c r="D104" t="s">
        <v>64</v>
      </c>
      <c r="H104" s="12">
        <v>0.60809999999999997</v>
      </c>
      <c r="J104" s="12">
        <v>0.60809999999999997</v>
      </c>
    </row>
    <row r="105" spans="1:10" x14ac:dyDescent="0.35">
      <c r="A105" t="s">
        <v>241</v>
      </c>
      <c r="B105" t="s">
        <v>242</v>
      </c>
      <c r="C105" t="s">
        <v>63</v>
      </c>
      <c r="D105" t="s">
        <v>64</v>
      </c>
      <c r="H105" s="12">
        <v>0.67420000000000002</v>
      </c>
      <c r="J105" s="12">
        <v>0.67420000000000002</v>
      </c>
    </row>
    <row r="106" spans="1:10" x14ac:dyDescent="0.35">
      <c r="A106" t="s">
        <v>243</v>
      </c>
      <c r="B106" t="s">
        <v>244</v>
      </c>
      <c r="C106" t="s">
        <v>63</v>
      </c>
      <c r="D106" t="s">
        <v>64</v>
      </c>
      <c r="E106" s="12">
        <v>0.34910000000000002</v>
      </c>
      <c r="F106" s="12">
        <v>0.56920000000000004</v>
      </c>
      <c r="G106" s="12">
        <v>0.67320000000000002</v>
      </c>
      <c r="H106" s="12">
        <v>0.77559999999999996</v>
      </c>
      <c r="I106" s="12">
        <v>0.81179999999999997</v>
      </c>
      <c r="J106" s="12">
        <v>0.37759999999999999</v>
      </c>
    </row>
    <row r="107" spans="1:10" x14ac:dyDescent="0.35">
      <c r="A107" t="s">
        <v>245</v>
      </c>
      <c r="B107" t="s">
        <v>68</v>
      </c>
      <c r="C107" t="s">
        <v>63</v>
      </c>
      <c r="D107" t="s">
        <v>64</v>
      </c>
      <c r="H107" s="12">
        <v>0.4556</v>
      </c>
      <c r="J107" s="12">
        <v>0.4556</v>
      </c>
    </row>
    <row r="108" spans="1:10" x14ac:dyDescent="0.35">
      <c r="A108" t="s">
        <v>246</v>
      </c>
      <c r="B108" t="s">
        <v>247</v>
      </c>
      <c r="C108" t="s">
        <v>63</v>
      </c>
      <c r="D108" t="s">
        <v>64</v>
      </c>
      <c r="E108" s="12">
        <v>0.77969999999999995</v>
      </c>
      <c r="J108" s="12">
        <v>0.77969999999999995</v>
      </c>
    </row>
    <row r="109" spans="1:10" x14ac:dyDescent="0.35">
      <c r="A109" t="s">
        <v>248</v>
      </c>
      <c r="B109" t="s">
        <v>68</v>
      </c>
      <c r="C109" t="s">
        <v>63</v>
      </c>
      <c r="D109" t="s">
        <v>64</v>
      </c>
      <c r="H109" s="12">
        <v>0.48299999999999998</v>
      </c>
      <c r="J109" s="12">
        <v>0.48299999999999998</v>
      </c>
    </row>
    <row r="110" spans="1:10" x14ac:dyDescent="0.35">
      <c r="A110" t="s">
        <v>249</v>
      </c>
      <c r="B110" t="s">
        <v>250</v>
      </c>
      <c r="C110" t="s">
        <v>63</v>
      </c>
      <c r="D110" t="s">
        <v>64</v>
      </c>
      <c r="H110" s="12">
        <v>0.55610000000000004</v>
      </c>
      <c r="J110" s="12">
        <v>0.55610000000000004</v>
      </c>
    </row>
    <row r="111" spans="1:10" x14ac:dyDescent="0.35">
      <c r="A111" t="s">
        <v>251</v>
      </c>
      <c r="B111" t="s">
        <v>129</v>
      </c>
      <c r="C111" t="s">
        <v>63</v>
      </c>
      <c r="D111" t="s">
        <v>64</v>
      </c>
      <c r="H111" s="12">
        <v>0.71760000000000002</v>
      </c>
      <c r="J111" s="12">
        <v>0.71760000000000002</v>
      </c>
    </row>
    <row r="112" spans="1:10" x14ac:dyDescent="0.35">
      <c r="A112" t="s">
        <v>252</v>
      </c>
      <c r="B112" t="s">
        <v>77</v>
      </c>
      <c r="C112" t="s">
        <v>63</v>
      </c>
      <c r="D112" t="s">
        <v>64</v>
      </c>
      <c r="I112" s="12">
        <v>0.80330000000000001</v>
      </c>
      <c r="J112" s="12">
        <v>0.80330000000000001</v>
      </c>
    </row>
    <row r="113" spans="1:10" x14ac:dyDescent="0.35">
      <c r="A113" t="s">
        <v>253</v>
      </c>
      <c r="B113" t="s">
        <v>254</v>
      </c>
      <c r="C113" t="s">
        <v>63</v>
      </c>
      <c r="D113" t="s">
        <v>64</v>
      </c>
      <c r="F113" s="12">
        <v>0.86029999999999995</v>
      </c>
      <c r="I113" s="12">
        <v>0.70479999999999998</v>
      </c>
      <c r="J113" s="12">
        <v>0.71870000000000001</v>
      </c>
    </row>
    <row r="114" spans="1:10" x14ac:dyDescent="0.35">
      <c r="A114" t="s">
        <v>255</v>
      </c>
      <c r="B114" t="s">
        <v>256</v>
      </c>
      <c r="C114" t="s">
        <v>63</v>
      </c>
      <c r="D114" t="s">
        <v>64</v>
      </c>
      <c r="E114" s="12">
        <v>0.65759999999999996</v>
      </c>
      <c r="J114" s="12">
        <v>0.65759999999999996</v>
      </c>
    </row>
    <row r="115" spans="1:10" x14ac:dyDescent="0.35">
      <c r="A115" t="s">
        <v>257</v>
      </c>
      <c r="B115" t="s">
        <v>256</v>
      </c>
      <c r="C115" t="s">
        <v>63</v>
      </c>
      <c r="D115" t="s">
        <v>64</v>
      </c>
      <c r="F115" s="12">
        <v>0.8669</v>
      </c>
      <c r="I115" s="12">
        <v>0.65090000000000003</v>
      </c>
      <c r="J115" s="12">
        <v>0.70430000000000004</v>
      </c>
    </row>
    <row r="116" spans="1:10" x14ac:dyDescent="0.35">
      <c r="A116" t="s">
        <v>258</v>
      </c>
      <c r="B116" t="s">
        <v>259</v>
      </c>
      <c r="C116" t="s">
        <v>63</v>
      </c>
      <c r="D116" t="s">
        <v>64</v>
      </c>
      <c r="F116" s="12">
        <v>0.80459999999999998</v>
      </c>
      <c r="J116" s="12">
        <v>0.80459999999999998</v>
      </c>
    </row>
    <row r="117" spans="1:10" x14ac:dyDescent="0.35">
      <c r="A117" t="s">
        <v>260</v>
      </c>
      <c r="B117" t="s">
        <v>77</v>
      </c>
      <c r="C117" t="s">
        <v>63</v>
      </c>
      <c r="D117" t="s">
        <v>64</v>
      </c>
      <c r="G117" s="12">
        <v>0.71730000000000005</v>
      </c>
      <c r="J117" s="12">
        <v>0.71730000000000005</v>
      </c>
    </row>
    <row r="118" spans="1:10" x14ac:dyDescent="0.35">
      <c r="A118" t="s">
        <v>261</v>
      </c>
      <c r="B118" t="s">
        <v>77</v>
      </c>
      <c r="C118" t="s">
        <v>63</v>
      </c>
      <c r="D118" t="s">
        <v>64</v>
      </c>
      <c r="E118" s="12">
        <v>0.99150000000000005</v>
      </c>
      <c r="J118" s="12">
        <v>0.99150000000000005</v>
      </c>
    </row>
    <row r="119" spans="1:10" x14ac:dyDescent="0.35">
      <c r="A119" t="s">
        <v>262</v>
      </c>
      <c r="B119" t="s">
        <v>263</v>
      </c>
      <c r="C119" t="s">
        <v>63</v>
      </c>
      <c r="D119" t="s">
        <v>64</v>
      </c>
      <c r="H119" s="12">
        <v>0.61899999999999999</v>
      </c>
      <c r="J119" s="12">
        <v>0.61899999999999999</v>
      </c>
    </row>
    <row r="120" spans="1:10" x14ac:dyDescent="0.35">
      <c r="A120" t="s">
        <v>264</v>
      </c>
      <c r="B120" t="s">
        <v>265</v>
      </c>
      <c r="C120" t="s">
        <v>63</v>
      </c>
      <c r="D120" t="s">
        <v>64</v>
      </c>
      <c r="E120" s="12">
        <v>0.33910000000000001</v>
      </c>
      <c r="G120" s="12">
        <v>0.52470000000000006</v>
      </c>
      <c r="J120" s="12">
        <v>0.40289999999999998</v>
      </c>
    </row>
    <row r="121" spans="1:10" x14ac:dyDescent="0.35">
      <c r="A121" t="s">
        <v>266</v>
      </c>
      <c r="B121" t="s">
        <v>267</v>
      </c>
      <c r="C121" t="s">
        <v>63</v>
      </c>
      <c r="D121" t="s">
        <v>64</v>
      </c>
      <c r="F121" s="12">
        <v>0.84130000000000005</v>
      </c>
      <c r="H121" s="12">
        <v>0.52849999999999997</v>
      </c>
      <c r="J121" s="12">
        <v>0.63449999999999995</v>
      </c>
    </row>
    <row r="122" spans="1:10" x14ac:dyDescent="0.35">
      <c r="A122" t="s">
        <v>268</v>
      </c>
      <c r="B122" t="s">
        <v>77</v>
      </c>
      <c r="C122" t="s">
        <v>63</v>
      </c>
      <c r="D122" t="s">
        <v>64</v>
      </c>
      <c r="H122" s="12">
        <v>0.81820000000000004</v>
      </c>
      <c r="J122" s="12">
        <v>0.81820000000000004</v>
      </c>
    </row>
    <row r="123" spans="1:10" x14ac:dyDescent="0.35">
      <c r="A123" t="s">
        <v>269</v>
      </c>
      <c r="B123" t="s">
        <v>270</v>
      </c>
      <c r="C123" t="s">
        <v>63</v>
      </c>
      <c r="D123" t="s">
        <v>64</v>
      </c>
      <c r="G123" s="12">
        <v>1</v>
      </c>
      <c r="J123" s="12">
        <v>1</v>
      </c>
    </row>
    <row r="124" spans="1:10" x14ac:dyDescent="0.35">
      <c r="A124" t="s">
        <v>271</v>
      </c>
      <c r="B124" t="s">
        <v>272</v>
      </c>
      <c r="C124" t="s">
        <v>63</v>
      </c>
      <c r="D124" t="s">
        <v>64</v>
      </c>
      <c r="F124" s="12">
        <v>0.4577</v>
      </c>
      <c r="H124" s="12">
        <v>0.39539999999999997</v>
      </c>
      <c r="I124" s="12">
        <v>0.51160000000000005</v>
      </c>
      <c r="J124" s="12">
        <v>0.42049999999999998</v>
      </c>
    </row>
    <row r="125" spans="1:10" x14ac:dyDescent="0.35">
      <c r="A125" t="s">
        <v>273</v>
      </c>
      <c r="B125" t="s">
        <v>93</v>
      </c>
      <c r="C125" t="s">
        <v>63</v>
      </c>
      <c r="D125" t="s">
        <v>64</v>
      </c>
      <c r="H125" s="12">
        <v>0.48159999999999997</v>
      </c>
      <c r="J125" s="12">
        <v>0.48159999999999997</v>
      </c>
    </row>
    <row r="126" spans="1:10" x14ac:dyDescent="0.35">
      <c r="A126" t="s">
        <v>274</v>
      </c>
      <c r="B126" t="s">
        <v>135</v>
      </c>
      <c r="C126" t="s">
        <v>63</v>
      </c>
      <c r="D126" t="s">
        <v>64</v>
      </c>
      <c r="H126" s="12">
        <v>0.66879999999999995</v>
      </c>
      <c r="J126" s="12">
        <v>0.66879999999999995</v>
      </c>
    </row>
    <row r="127" spans="1:10" x14ac:dyDescent="0.35">
      <c r="A127" t="s">
        <v>275</v>
      </c>
      <c r="B127" t="s">
        <v>135</v>
      </c>
      <c r="C127" t="s">
        <v>63</v>
      </c>
      <c r="D127" t="s">
        <v>64</v>
      </c>
      <c r="E127" s="12">
        <v>0.2994</v>
      </c>
      <c r="F127" s="12">
        <v>0.67390000000000005</v>
      </c>
      <c r="G127" s="12">
        <v>0.60340000000000005</v>
      </c>
      <c r="H127" s="12">
        <v>0.65249999999999997</v>
      </c>
      <c r="I127" s="12">
        <v>0.6774</v>
      </c>
      <c r="J127" s="12">
        <v>0.30990000000000001</v>
      </c>
    </row>
    <row r="128" spans="1:10" x14ac:dyDescent="0.35">
      <c r="A128" t="s">
        <v>276</v>
      </c>
      <c r="B128" t="s">
        <v>77</v>
      </c>
      <c r="C128" t="s">
        <v>63</v>
      </c>
      <c r="D128" t="s">
        <v>64</v>
      </c>
      <c r="G128" s="12">
        <v>0.8165</v>
      </c>
      <c r="H128" s="12">
        <v>0.8478</v>
      </c>
      <c r="J128" s="12">
        <v>0.81869999999999998</v>
      </c>
    </row>
    <row r="129" spans="1:10" x14ac:dyDescent="0.35">
      <c r="A129" t="s">
        <v>277</v>
      </c>
      <c r="B129" t="s">
        <v>278</v>
      </c>
      <c r="C129" t="s">
        <v>63</v>
      </c>
      <c r="D129" t="s">
        <v>64</v>
      </c>
      <c r="I129" s="12">
        <v>0.63759999999999994</v>
      </c>
      <c r="J129" s="12">
        <v>0.63759999999999994</v>
      </c>
    </row>
    <row r="130" spans="1:10" x14ac:dyDescent="0.35">
      <c r="A130" t="s">
        <v>279</v>
      </c>
      <c r="B130" t="s">
        <v>77</v>
      </c>
      <c r="C130" t="s">
        <v>63</v>
      </c>
      <c r="D130" t="s">
        <v>78</v>
      </c>
      <c r="H130" s="12">
        <v>0.91459999999999997</v>
      </c>
      <c r="J130" s="12">
        <v>0.91459999999999997</v>
      </c>
    </row>
    <row r="131" spans="1:10" x14ac:dyDescent="0.35">
      <c r="A131" t="s">
        <v>280</v>
      </c>
      <c r="B131" t="s">
        <v>244</v>
      </c>
      <c r="C131" t="s">
        <v>63</v>
      </c>
      <c r="D131" t="s">
        <v>64</v>
      </c>
      <c r="E131" s="12">
        <v>0.14960000000000001</v>
      </c>
      <c r="H131" s="12">
        <v>0.34</v>
      </c>
      <c r="J131" s="12">
        <v>0.1532</v>
      </c>
    </row>
    <row r="132" spans="1:10" x14ac:dyDescent="0.35">
      <c r="A132" t="s">
        <v>281</v>
      </c>
      <c r="B132" t="s">
        <v>77</v>
      </c>
      <c r="C132" t="s">
        <v>86</v>
      </c>
      <c r="D132" t="s">
        <v>64</v>
      </c>
      <c r="H132" s="12">
        <v>0.77680000000000005</v>
      </c>
      <c r="J132" s="12">
        <v>0.77680000000000005</v>
      </c>
    </row>
    <row r="133" spans="1:10" x14ac:dyDescent="0.35">
      <c r="A133" t="s">
        <v>282</v>
      </c>
      <c r="B133" t="s">
        <v>135</v>
      </c>
      <c r="C133" t="s">
        <v>63</v>
      </c>
      <c r="D133" t="s">
        <v>64</v>
      </c>
      <c r="E133" s="12">
        <v>0.33660000000000001</v>
      </c>
      <c r="H133" s="12">
        <v>0.2273</v>
      </c>
      <c r="J133" s="12">
        <v>0.33629999999999999</v>
      </c>
    </row>
    <row r="134" spans="1:10" x14ac:dyDescent="0.35">
      <c r="A134" t="s">
        <v>283</v>
      </c>
      <c r="B134" t="s">
        <v>284</v>
      </c>
      <c r="C134" t="s">
        <v>63</v>
      </c>
      <c r="D134" t="s">
        <v>64</v>
      </c>
      <c r="H134" s="12">
        <v>0.76500000000000001</v>
      </c>
      <c r="J134" s="12">
        <v>0.76500000000000001</v>
      </c>
    </row>
    <row r="135" spans="1:10" x14ac:dyDescent="0.35">
      <c r="A135" t="s">
        <v>285</v>
      </c>
      <c r="B135" t="s">
        <v>77</v>
      </c>
      <c r="C135" t="s">
        <v>63</v>
      </c>
      <c r="D135" t="s">
        <v>64</v>
      </c>
      <c r="E135" s="12">
        <v>0.57620000000000005</v>
      </c>
      <c r="G135" s="12">
        <v>0.57240000000000002</v>
      </c>
      <c r="J135" s="12">
        <v>0.57609999999999995</v>
      </c>
    </row>
    <row r="136" spans="1:10" x14ac:dyDescent="0.35">
      <c r="A136" t="s">
        <v>286</v>
      </c>
      <c r="B136" t="s">
        <v>287</v>
      </c>
      <c r="C136" t="s">
        <v>63</v>
      </c>
      <c r="D136" t="s">
        <v>64</v>
      </c>
      <c r="H136" s="12">
        <v>0.71140000000000003</v>
      </c>
      <c r="J136" s="12">
        <v>0.71140000000000003</v>
      </c>
    </row>
    <row r="137" spans="1:10" x14ac:dyDescent="0.35">
      <c r="A137" t="s">
        <v>288</v>
      </c>
      <c r="B137" t="s">
        <v>289</v>
      </c>
      <c r="C137" t="s">
        <v>63</v>
      </c>
      <c r="D137" t="s">
        <v>78</v>
      </c>
      <c r="E137" s="12">
        <v>0.84699999999999998</v>
      </c>
      <c r="F137" s="12">
        <v>0.63039999999999996</v>
      </c>
      <c r="H137" s="12">
        <v>0.78949999999999998</v>
      </c>
      <c r="I137" s="12">
        <v>0.83409999999999995</v>
      </c>
      <c r="J137" s="12">
        <v>0.84670000000000001</v>
      </c>
    </row>
    <row r="138" spans="1:10" x14ac:dyDescent="0.35">
      <c r="A138" t="s">
        <v>290</v>
      </c>
      <c r="B138" t="s">
        <v>91</v>
      </c>
      <c r="C138" t="s">
        <v>63</v>
      </c>
      <c r="D138" t="s">
        <v>64</v>
      </c>
      <c r="H138" s="12">
        <v>0.83330000000000004</v>
      </c>
      <c r="J138" s="12">
        <v>0.83330000000000004</v>
      </c>
    </row>
    <row r="139" spans="1:10" x14ac:dyDescent="0.35">
      <c r="A139" t="s">
        <v>291</v>
      </c>
      <c r="B139" t="s">
        <v>199</v>
      </c>
      <c r="C139" t="s">
        <v>63</v>
      </c>
      <c r="D139" t="s">
        <v>64</v>
      </c>
      <c r="H139" s="12">
        <v>0.31380000000000002</v>
      </c>
      <c r="J139" s="12">
        <v>0.31380000000000002</v>
      </c>
    </row>
    <row r="140" spans="1:10" x14ac:dyDescent="0.35">
      <c r="A140" t="s">
        <v>292</v>
      </c>
      <c r="B140" t="s">
        <v>77</v>
      </c>
      <c r="C140" t="s">
        <v>63</v>
      </c>
      <c r="D140" t="s">
        <v>78</v>
      </c>
      <c r="H140" s="12">
        <v>0.95730000000000004</v>
      </c>
      <c r="J140" s="12">
        <v>0.95730000000000004</v>
      </c>
    </row>
    <row r="141" spans="1:10" x14ac:dyDescent="0.35">
      <c r="A141" t="s">
        <v>293</v>
      </c>
      <c r="B141" t="s">
        <v>180</v>
      </c>
      <c r="C141" t="s">
        <v>63</v>
      </c>
      <c r="D141" t="s">
        <v>64</v>
      </c>
      <c r="E141" s="12">
        <v>0.35980000000000001</v>
      </c>
      <c r="F141" s="12">
        <v>0.5333</v>
      </c>
      <c r="G141" s="12">
        <v>0.30690000000000001</v>
      </c>
      <c r="H141" s="12">
        <v>0.77780000000000005</v>
      </c>
      <c r="I141" s="12">
        <v>0.76139999999999997</v>
      </c>
      <c r="J141" s="12">
        <v>0.35849999999999999</v>
      </c>
    </row>
    <row r="142" spans="1:10" x14ac:dyDescent="0.35">
      <c r="A142" t="s">
        <v>294</v>
      </c>
      <c r="B142" t="s">
        <v>170</v>
      </c>
      <c r="C142" t="s">
        <v>63</v>
      </c>
      <c r="D142" t="s">
        <v>78</v>
      </c>
      <c r="E142" s="12">
        <v>0.48409999999999997</v>
      </c>
      <c r="F142" s="12">
        <v>0.66669999999999996</v>
      </c>
      <c r="G142" s="12">
        <v>0.68279999999999996</v>
      </c>
      <c r="H142" s="12">
        <v>0.65710000000000002</v>
      </c>
      <c r="I142" s="12">
        <v>0.87760000000000005</v>
      </c>
      <c r="J142" s="12">
        <v>0.49990000000000001</v>
      </c>
    </row>
    <row r="143" spans="1:10" x14ac:dyDescent="0.35">
      <c r="A143" t="s">
        <v>295</v>
      </c>
      <c r="B143" t="s">
        <v>77</v>
      </c>
      <c r="C143" t="s">
        <v>63</v>
      </c>
      <c r="D143" t="s">
        <v>64</v>
      </c>
      <c r="E143" s="12">
        <v>0.40889999999999999</v>
      </c>
      <c r="G143" s="12">
        <v>0.3014</v>
      </c>
      <c r="I143" s="12">
        <v>0</v>
      </c>
      <c r="J143" s="12">
        <v>0.37159999999999999</v>
      </c>
    </row>
    <row r="144" spans="1:10" x14ac:dyDescent="0.35">
      <c r="A144" t="s">
        <v>296</v>
      </c>
      <c r="B144" t="s">
        <v>297</v>
      </c>
      <c r="C144" t="s">
        <v>63</v>
      </c>
      <c r="D144" t="s">
        <v>64</v>
      </c>
      <c r="E144" s="12">
        <v>0.59819999999999995</v>
      </c>
      <c r="G144" s="12">
        <v>0.80230000000000001</v>
      </c>
      <c r="J144" s="12">
        <v>0.61029999999999995</v>
      </c>
    </row>
    <row r="145" spans="1:10" x14ac:dyDescent="0.35">
      <c r="A145" t="s">
        <v>298</v>
      </c>
      <c r="B145" t="s">
        <v>299</v>
      </c>
      <c r="C145" t="s">
        <v>63</v>
      </c>
      <c r="D145" t="s">
        <v>78</v>
      </c>
      <c r="F145" s="12">
        <v>0.86750000000000005</v>
      </c>
      <c r="I145" s="12">
        <v>0.84370000000000001</v>
      </c>
      <c r="J145" s="12">
        <v>0.8528</v>
      </c>
    </row>
    <row r="146" spans="1:10" x14ac:dyDescent="0.35">
      <c r="A146" t="s">
        <v>300</v>
      </c>
      <c r="B146" t="s">
        <v>77</v>
      </c>
      <c r="C146" t="s">
        <v>63</v>
      </c>
      <c r="D146" t="s">
        <v>64</v>
      </c>
      <c r="H146" s="12">
        <v>0.32300000000000001</v>
      </c>
      <c r="J146" s="12">
        <v>0.32300000000000001</v>
      </c>
    </row>
    <row r="147" spans="1:10" x14ac:dyDescent="0.35">
      <c r="A147" t="s">
        <v>301</v>
      </c>
      <c r="B147" t="s">
        <v>77</v>
      </c>
      <c r="C147" t="s">
        <v>63</v>
      </c>
      <c r="D147" t="s">
        <v>64</v>
      </c>
      <c r="H147" s="12">
        <v>0.1386</v>
      </c>
      <c r="J147" s="12">
        <v>0.1386</v>
      </c>
    </row>
    <row r="148" spans="1:10" x14ac:dyDescent="0.35">
      <c r="A148" t="s">
        <v>302</v>
      </c>
      <c r="B148" t="s">
        <v>303</v>
      </c>
      <c r="C148" t="s">
        <v>63</v>
      </c>
      <c r="D148" t="s">
        <v>64</v>
      </c>
      <c r="E148" s="12">
        <v>0.70269999999999999</v>
      </c>
      <c r="G148" s="12">
        <v>0.77029999999999998</v>
      </c>
      <c r="J148" s="12">
        <v>0.73129999999999995</v>
      </c>
    </row>
    <row r="149" spans="1:10" x14ac:dyDescent="0.35">
      <c r="A149" t="s">
        <v>304</v>
      </c>
      <c r="B149" t="s">
        <v>305</v>
      </c>
      <c r="C149" t="s">
        <v>63</v>
      </c>
      <c r="D149" t="s">
        <v>64</v>
      </c>
      <c r="H149" s="12">
        <v>0.91539999999999999</v>
      </c>
      <c r="J149" s="12">
        <v>0.91539999999999999</v>
      </c>
    </row>
    <row r="150" spans="1:10" x14ac:dyDescent="0.35">
      <c r="A150" t="s">
        <v>306</v>
      </c>
      <c r="B150" t="s">
        <v>307</v>
      </c>
      <c r="C150" t="s">
        <v>86</v>
      </c>
      <c r="D150" t="s">
        <v>78</v>
      </c>
      <c r="E150" s="12">
        <v>0.73260000000000003</v>
      </c>
      <c r="G150" s="12">
        <v>0.67869999999999997</v>
      </c>
      <c r="J150" s="12">
        <v>0.71950000000000003</v>
      </c>
    </row>
    <row r="151" spans="1:10" x14ac:dyDescent="0.35">
      <c r="A151" t="s">
        <v>308</v>
      </c>
      <c r="B151" t="s">
        <v>309</v>
      </c>
      <c r="C151" t="s">
        <v>63</v>
      </c>
      <c r="D151" t="s">
        <v>78</v>
      </c>
      <c r="F151" s="12">
        <v>0.82679999999999998</v>
      </c>
      <c r="J151" s="12">
        <v>0.82679999999999998</v>
      </c>
    </row>
    <row r="152" spans="1:10" x14ac:dyDescent="0.35">
      <c r="A152" t="s">
        <v>310</v>
      </c>
      <c r="B152" t="s">
        <v>311</v>
      </c>
      <c r="C152" t="s">
        <v>63</v>
      </c>
      <c r="D152" t="s">
        <v>64</v>
      </c>
      <c r="G152" s="12">
        <v>0.80779999999999996</v>
      </c>
      <c r="J152" s="12">
        <v>0.80779999999999996</v>
      </c>
    </row>
    <row r="153" spans="1:10" x14ac:dyDescent="0.35">
      <c r="A153" t="s">
        <v>312</v>
      </c>
      <c r="B153" t="s">
        <v>313</v>
      </c>
      <c r="C153" t="s">
        <v>63</v>
      </c>
      <c r="D153" t="s">
        <v>64</v>
      </c>
      <c r="F153" s="12">
        <v>0.68359999999999999</v>
      </c>
      <c r="H153" s="12">
        <v>0.59079999999999999</v>
      </c>
      <c r="I153" s="12">
        <v>0.54549999999999998</v>
      </c>
      <c r="J153" s="12">
        <v>0.6421</v>
      </c>
    </row>
    <row r="154" spans="1:10" x14ac:dyDescent="0.35">
      <c r="A154" t="s">
        <v>314</v>
      </c>
      <c r="B154" t="s">
        <v>313</v>
      </c>
      <c r="C154" t="s">
        <v>63</v>
      </c>
      <c r="D154" t="s">
        <v>64</v>
      </c>
      <c r="F154" s="12">
        <v>0.56469999999999998</v>
      </c>
      <c r="G154" s="12">
        <v>1</v>
      </c>
      <c r="H154" s="12">
        <v>0.59719999999999995</v>
      </c>
      <c r="I154" s="12">
        <v>0.61850000000000005</v>
      </c>
      <c r="J154" s="12">
        <v>0.57399999999999995</v>
      </c>
    </row>
    <row r="155" spans="1:10" x14ac:dyDescent="0.35">
      <c r="A155" t="s">
        <v>315</v>
      </c>
      <c r="B155" t="s">
        <v>186</v>
      </c>
      <c r="C155" t="s">
        <v>63</v>
      </c>
      <c r="D155" t="s">
        <v>64</v>
      </c>
      <c r="H155" s="12">
        <v>0.31869999999999998</v>
      </c>
      <c r="J155" s="12">
        <v>0.31869999999999998</v>
      </c>
    </row>
    <row r="156" spans="1:10" x14ac:dyDescent="0.35">
      <c r="A156" t="s">
        <v>316</v>
      </c>
      <c r="B156" t="s">
        <v>77</v>
      </c>
      <c r="C156" t="s">
        <v>63</v>
      </c>
      <c r="D156" t="s">
        <v>64</v>
      </c>
      <c r="E156" s="12">
        <v>0.443</v>
      </c>
      <c r="G156" s="12">
        <v>0.54159999999999997</v>
      </c>
      <c r="H156" s="12">
        <v>0</v>
      </c>
      <c r="J156" s="12">
        <v>0.47799999999999998</v>
      </c>
    </row>
    <row r="157" spans="1:10" x14ac:dyDescent="0.35">
      <c r="A157" t="s">
        <v>317</v>
      </c>
      <c r="B157" t="s">
        <v>318</v>
      </c>
      <c r="C157" t="s">
        <v>63</v>
      </c>
      <c r="D157" t="s">
        <v>64</v>
      </c>
      <c r="H157" s="12">
        <v>0.73670000000000002</v>
      </c>
      <c r="J157" s="12">
        <v>0.73670000000000002</v>
      </c>
    </row>
    <row r="158" spans="1:10" x14ac:dyDescent="0.35">
      <c r="A158" t="s">
        <v>319</v>
      </c>
      <c r="B158" t="s">
        <v>77</v>
      </c>
      <c r="C158" t="s">
        <v>63</v>
      </c>
      <c r="D158" t="s">
        <v>64</v>
      </c>
      <c r="H158" s="12">
        <v>0.72629999999999995</v>
      </c>
      <c r="J158" s="12">
        <v>0.72629999999999995</v>
      </c>
    </row>
    <row r="159" spans="1:10" x14ac:dyDescent="0.35">
      <c r="A159" t="s">
        <v>320</v>
      </c>
      <c r="B159" t="s">
        <v>321</v>
      </c>
      <c r="C159" t="s">
        <v>63</v>
      </c>
      <c r="D159" t="s">
        <v>64</v>
      </c>
      <c r="F159" s="12">
        <v>1</v>
      </c>
      <c r="G159" s="12">
        <v>1</v>
      </c>
      <c r="H159" s="12">
        <v>1</v>
      </c>
      <c r="I159" s="12">
        <v>1</v>
      </c>
      <c r="J159" s="12">
        <v>1</v>
      </c>
    </row>
    <row r="160" spans="1:10" x14ac:dyDescent="0.35">
      <c r="A160" t="s">
        <v>322</v>
      </c>
      <c r="B160" t="s">
        <v>321</v>
      </c>
      <c r="C160" t="s">
        <v>63</v>
      </c>
      <c r="D160" t="s">
        <v>64</v>
      </c>
      <c r="I160" s="12">
        <v>0.99399999999999999</v>
      </c>
      <c r="J160" s="12">
        <v>0.99399999999999999</v>
      </c>
    </row>
    <row r="161" spans="1:10" x14ac:dyDescent="0.35">
      <c r="A161" t="s">
        <v>323</v>
      </c>
      <c r="B161" t="s">
        <v>321</v>
      </c>
      <c r="C161" t="s">
        <v>63</v>
      </c>
      <c r="D161" t="s">
        <v>64</v>
      </c>
      <c r="F161" s="12">
        <v>0.98899999999999999</v>
      </c>
      <c r="I161" s="12">
        <v>0.98399999999999999</v>
      </c>
      <c r="J161" s="12">
        <v>0.98809999999999998</v>
      </c>
    </row>
    <row r="162" spans="1:10" x14ac:dyDescent="0.35">
      <c r="A162" t="s">
        <v>324</v>
      </c>
      <c r="B162" t="s">
        <v>325</v>
      </c>
      <c r="C162" t="s">
        <v>86</v>
      </c>
      <c r="D162" t="s">
        <v>64</v>
      </c>
      <c r="H162" s="12">
        <v>0.38940000000000002</v>
      </c>
      <c r="J162" s="12">
        <v>0.38940000000000002</v>
      </c>
    </row>
    <row r="163" spans="1:10" x14ac:dyDescent="0.35">
      <c r="A163" t="s">
        <v>326</v>
      </c>
      <c r="B163" t="s">
        <v>180</v>
      </c>
      <c r="C163" t="s">
        <v>63</v>
      </c>
      <c r="D163" t="s">
        <v>64</v>
      </c>
      <c r="I163" s="12">
        <v>0.49159999999999998</v>
      </c>
      <c r="J163" s="12">
        <v>0.49159999999999998</v>
      </c>
    </row>
    <row r="164" spans="1:10" x14ac:dyDescent="0.35">
      <c r="A164" t="s">
        <v>327</v>
      </c>
      <c r="B164" t="s">
        <v>313</v>
      </c>
      <c r="C164" t="s">
        <v>63</v>
      </c>
      <c r="D164" t="s">
        <v>64</v>
      </c>
      <c r="F164" s="12">
        <v>0.67310000000000003</v>
      </c>
      <c r="H164" s="12">
        <v>0.57099999999999995</v>
      </c>
      <c r="I164" s="12">
        <v>0.52829999999999999</v>
      </c>
      <c r="J164" s="12">
        <v>0.58560000000000001</v>
      </c>
    </row>
    <row r="165" spans="1:10" x14ac:dyDescent="0.35">
      <c r="A165" t="s">
        <v>328</v>
      </c>
      <c r="B165" t="s">
        <v>313</v>
      </c>
      <c r="C165" t="s">
        <v>63</v>
      </c>
      <c r="D165" t="s">
        <v>64</v>
      </c>
      <c r="F165" s="12">
        <v>0.49359999999999998</v>
      </c>
      <c r="H165" s="12">
        <v>0.45219999999999999</v>
      </c>
      <c r="I165" s="12">
        <v>0.44940000000000002</v>
      </c>
      <c r="J165" s="12">
        <v>0.48349999999999999</v>
      </c>
    </row>
    <row r="166" spans="1:10" x14ac:dyDescent="0.35">
      <c r="A166" t="s">
        <v>329</v>
      </c>
      <c r="B166" t="s">
        <v>77</v>
      </c>
      <c r="C166" t="s">
        <v>63</v>
      </c>
      <c r="D166" t="s">
        <v>73</v>
      </c>
      <c r="H166" s="12">
        <v>0.34379999999999999</v>
      </c>
      <c r="J166" s="12">
        <v>0.34379999999999999</v>
      </c>
    </row>
    <row r="167" spans="1:10" x14ac:dyDescent="0.35">
      <c r="A167" t="s">
        <v>330</v>
      </c>
      <c r="B167" t="s">
        <v>77</v>
      </c>
      <c r="C167" t="s">
        <v>63</v>
      </c>
      <c r="D167" t="s">
        <v>64</v>
      </c>
      <c r="F167" s="12">
        <v>0.79790000000000005</v>
      </c>
      <c r="J167" s="12">
        <v>0.79790000000000005</v>
      </c>
    </row>
    <row r="168" spans="1:10" x14ac:dyDescent="0.35">
      <c r="A168" t="s">
        <v>331</v>
      </c>
      <c r="B168" t="s">
        <v>332</v>
      </c>
      <c r="C168" t="s">
        <v>63</v>
      </c>
      <c r="D168" t="s">
        <v>64</v>
      </c>
      <c r="F168" s="12">
        <v>0.64680000000000004</v>
      </c>
      <c r="H168" s="12">
        <v>0.65249999999999997</v>
      </c>
      <c r="I168" s="12">
        <v>0.64729999999999999</v>
      </c>
      <c r="J168" s="12">
        <v>0.64839999999999998</v>
      </c>
    </row>
    <row r="169" spans="1:10" x14ac:dyDescent="0.35">
      <c r="A169" t="s">
        <v>333</v>
      </c>
      <c r="B169" t="s">
        <v>334</v>
      </c>
      <c r="C169" t="s">
        <v>63</v>
      </c>
      <c r="D169" t="s">
        <v>64</v>
      </c>
      <c r="H169" s="12">
        <v>0.48020000000000002</v>
      </c>
      <c r="J169" s="12">
        <v>0.48020000000000002</v>
      </c>
    </row>
    <row r="170" spans="1:10" x14ac:dyDescent="0.35">
      <c r="A170" t="s">
        <v>335</v>
      </c>
      <c r="B170" t="s">
        <v>72</v>
      </c>
      <c r="C170" t="s">
        <v>63</v>
      </c>
      <c r="D170" t="s">
        <v>73</v>
      </c>
      <c r="H170" s="12">
        <v>0.24890000000000001</v>
      </c>
      <c r="J170" s="12">
        <v>0.24890000000000001</v>
      </c>
    </row>
    <row r="171" spans="1:10" x14ac:dyDescent="0.35">
      <c r="A171" t="s">
        <v>336</v>
      </c>
      <c r="B171" t="s">
        <v>236</v>
      </c>
      <c r="C171" t="s">
        <v>63</v>
      </c>
      <c r="D171" t="s">
        <v>237</v>
      </c>
      <c r="E171" s="12">
        <v>0.63029999999999997</v>
      </c>
      <c r="H171" s="12">
        <v>0.90700000000000003</v>
      </c>
      <c r="J171" s="12">
        <v>0.71009999999999995</v>
      </c>
    </row>
    <row r="172" spans="1:10" x14ac:dyDescent="0.35">
      <c r="A172" t="s">
        <v>337</v>
      </c>
      <c r="B172" t="s">
        <v>338</v>
      </c>
      <c r="C172" t="s">
        <v>63</v>
      </c>
      <c r="D172" t="s">
        <v>64</v>
      </c>
      <c r="E172" s="12">
        <v>0.43740000000000001</v>
      </c>
      <c r="F172" s="12">
        <v>0.76190000000000002</v>
      </c>
      <c r="G172" s="12">
        <v>0.47860000000000003</v>
      </c>
      <c r="H172" s="12">
        <v>0.56599999999999995</v>
      </c>
      <c r="I172" s="12">
        <v>0.61960000000000004</v>
      </c>
      <c r="J172" s="12">
        <v>0.44059999999999999</v>
      </c>
    </row>
    <row r="173" spans="1:10" x14ac:dyDescent="0.35">
      <c r="A173" t="s">
        <v>339</v>
      </c>
      <c r="B173" t="s">
        <v>172</v>
      </c>
      <c r="C173" t="s">
        <v>63</v>
      </c>
      <c r="D173" t="s">
        <v>64</v>
      </c>
      <c r="F173" s="12">
        <v>0.4955</v>
      </c>
      <c r="H173" s="12">
        <v>0.4667</v>
      </c>
      <c r="I173" s="12">
        <v>0.43030000000000002</v>
      </c>
      <c r="J173" s="12">
        <v>0.49299999999999999</v>
      </c>
    </row>
    <row r="174" spans="1:10" x14ac:dyDescent="0.35">
      <c r="A174" t="s">
        <v>340</v>
      </c>
      <c r="B174" t="s">
        <v>77</v>
      </c>
      <c r="C174" t="s">
        <v>63</v>
      </c>
      <c r="D174" t="s">
        <v>64</v>
      </c>
      <c r="F174" s="12">
        <v>0.92330000000000001</v>
      </c>
      <c r="H174" s="12">
        <v>0.71430000000000005</v>
      </c>
      <c r="I174" s="12">
        <v>0.84709999999999996</v>
      </c>
      <c r="J174" s="12">
        <v>0.82769999999999999</v>
      </c>
    </row>
    <row r="175" spans="1:10" x14ac:dyDescent="0.35">
      <c r="A175" t="s">
        <v>341</v>
      </c>
      <c r="B175" t="s">
        <v>135</v>
      </c>
      <c r="C175" t="s">
        <v>63</v>
      </c>
      <c r="D175" t="s">
        <v>64</v>
      </c>
      <c r="F175" s="12">
        <v>0.71519999999999995</v>
      </c>
      <c r="H175" s="12">
        <v>0.68779999999999997</v>
      </c>
      <c r="I175" s="12">
        <v>0.63990000000000002</v>
      </c>
      <c r="J175" s="12">
        <v>0.70040000000000002</v>
      </c>
    </row>
    <row r="176" spans="1:10" x14ac:dyDescent="0.35">
      <c r="A176" t="s">
        <v>342</v>
      </c>
      <c r="B176" t="s">
        <v>77</v>
      </c>
      <c r="C176" t="s">
        <v>63</v>
      </c>
      <c r="D176" t="s">
        <v>64</v>
      </c>
      <c r="E176" s="12">
        <v>0.9103</v>
      </c>
      <c r="J176" s="12">
        <v>0.90720000000000001</v>
      </c>
    </row>
    <row r="177" spans="1:10" x14ac:dyDescent="0.35">
      <c r="A177" t="s">
        <v>343</v>
      </c>
      <c r="B177" t="s">
        <v>344</v>
      </c>
      <c r="C177" t="s">
        <v>63</v>
      </c>
      <c r="D177" t="s">
        <v>64</v>
      </c>
      <c r="E177" s="12">
        <v>0.58309999999999995</v>
      </c>
      <c r="G177" s="12">
        <v>0.83</v>
      </c>
      <c r="J177" s="12">
        <v>0.65649999999999997</v>
      </c>
    </row>
    <row r="178" spans="1:10" x14ac:dyDescent="0.35">
      <c r="A178" t="s">
        <v>345</v>
      </c>
      <c r="B178" t="s">
        <v>346</v>
      </c>
      <c r="C178" t="s">
        <v>63</v>
      </c>
      <c r="D178" t="s">
        <v>64</v>
      </c>
      <c r="H178" s="12">
        <v>0.98</v>
      </c>
      <c r="J178" s="12">
        <v>0.98</v>
      </c>
    </row>
    <row r="179" spans="1:10" x14ac:dyDescent="0.35">
      <c r="A179" t="s">
        <v>347</v>
      </c>
      <c r="B179" t="s">
        <v>348</v>
      </c>
      <c r="C179" t="s">
        <v>63</v>
      </c>
      <c r="D179" t="s">
        <v>64</v>
      </c>
      <c r="H179" s="12">
        <v>0.69799999999999995</v>
      </c>
      <c r="J179" s="12">
        <v>0.69799999999999995</v>
      </c>
    </row>
    <row r="180" spans="1:10" x14ac:dyDescent="0.35">
      <c r="A180" t="s">
        <v>349</v>
      </c>
      <c r="B180" t="s">
        <v>176</v>
      </c>
      <c r="C180" t="s">
        <v>63</v>
      </c>
      <c r="D180" t="s">
        <v>64</v>
      </c>
      <c r="E180" s="12">
        <v>0.45729999999999998</v>
      </c>
      <c r="F180" s="12">
        <v>0.92310000000000003</v>
      </c>
      <c r="G180" s="12">
        <v>0.53129999999999999</v>
      </c>
      <c r="I180" s="12">
        <v>0.84850000000000003</v>
      </c>
      <c r="J180" s="12">
        <v>0.47839999999999999</v>
      </c>
    </row>
    <row r="181" spans="1:10" x14ac:dyDescent="0.35">
      <c r="A181" t="s">
        <v>350</v>
      </c>
      <c r="B181" t="s">
        <v>351</v>
      </c>
      <c r="C181" t="s">
        <v>63</v>
      </c>
      <c r="D181" t="s">
        <v>64</v>
      </c>
      <c r="H181" s="12">
        <v>0.70879999999999999</v>
      </c>
      <c r="J181" s="12">
        <v>0.70879999999999999</v>
      </c>
    </row>
    <row r="182" spans="1:10" x14ac:dyDescent="0.35">
      <c r="A182" t="s">
        <v>352</v>
      </c>
      <c r="B182" t="s">
        <v>353</v>
      </c>
      <c r="C182" t="s">
        <v>63</v>
      </c>
      <c r="D182" t="s">
        <v>64</v>
      </c>
      <c r="H182" s="12">
        <v>0.30570000000000003</v>
      </c>
      <c r="J182" s="12">
        <v>0.30570000000000003</v>
      </c>
    </row>
    <row r="183" spans="1:10" x14ac:dyDescent="0.35">
      <c r="A183" t="s">
        <v>354</v>
      </c>
      <c r="B183" t="s">
        <v>355</v>
      </c>
      <c r="C183" t="s">
        <v>63</v>
      </c>
      <c r="D183" t="s">
        <v>64</v>
      </c>
      <c r="F183" s="12">
        <v>0.94569999999999999</v>
      </c>
      <c r="H183" s="12">
        <v>0.75</v>
      </c>
      <c r="I183" s="12">
        <v>0.90949999999999998</v>
      </c>
      <c r="J183" s="12">
        <v>0.93430000000000002</v>
      </c>
    </row>
    <row r="184" spans="1:10" x14ac:dyDescent="0.35">
      <c r="A184" t="s">
        <v>356</v>
      </c>
      <c r="B184" t="s">
        <v>355</v>
      </c>
      <c r="C184" t="s">
        <v>63</v>
      </c>
      <c r="D184" t="s">
        <v>64</v>
      </c>
      <c r="E184" s="12">
        <v>0</v>
      </c>
      <c r="F184" s="12">
        <v>0.42670000000000002</v>
      </c>
      <c r="G184" s="12">
        <v>0.22220000000000001</v>
      </c>
      <c r="H184" s="12">
        <v>0.25679999999999997</v>
      </c>
      <c r="I184" s="12">
        <v>0.37259999999999999</v>
      </c>
      <c r="J184" s="12">
        <v>0.39679999999999999</v>
      </c>
    </row>
    <row r="185" spans="1:10" x14ac:dyDescent="0.35">
      <c r="A185" t="s">
        <v>357</v>
      </c>
      <c r="B185" t="s">
        <v>77</v>
      </c>
      <c r="C185" t="s">
        <v>63</v>
      </c>
      <c r="D185" t="s">
        <v>78</v>
      </c>
      <c r="E185" s="12">
        <v>0.79859999999999998</v>
      </c>
      <c r="J185" s="12">
        <v>0.79859999999999998</v>
      </c>
    </row>
    <row r="186" spans="1:10" x14ac:dyDescent="0.35">
      <c r="A186" t="s">
        <v>358</v>
      </c>
      <c r="B186" t="s">
        <v>359</v>
      </c>
      <c r="C186" t="s">
        <v>63</v>
      </c>
      <c r="D186" t="s">
        <v>64</v>
      </c>
      <c r="H186" s="12">
        <v>0.76359999999999995</v>
      </c>
      <c r="J186" s="12">
        <v>0.76359999999999995</v>
      </c>
    </row>
    <row r="187" spans="1:10" x14ac:dyDescent="0.35">
      <c r="A187" t="s">
        <v>360</v>
      </c>
      <c r="B187" t="s">
        <v>361</v>
      </c>
      <c r="C187" t="s">
        <v>63</v>
      </c>
      <c r="D187" t="s">
        <v>78</v>
      </c>
      <c r="G187" s="12">
        <v>0.53739999999999999</v>
      </c>
      <c r="J187" s="12">
        <v>0.53739999999999999</v>
      </c>
    </row>
    <row r="188" spans="1:10" x14ac:dyDescent="0.35">
      <c r="A188" t="s">
        <v>362</v>
      </c>
      <c r="B188" t="s">
        <v>363</v>
      </c>
      <c r="C188" t="s">
        <v>63</v>
      </c>
      <c r="D188" t="s">
        <v>64</v>
      </c>
      <c r="H188" s="12">
        <v>0.7631</v>
      </c>
      <c r="J188" s="12">
        <v>0.7631</v>
      </c>
    </row>
    <row r="189" spans="1:10" x14ac:dyDescent="0.35">
      <c r="A189" t="s">
        <v>364</v>
      </c>
      <c r="B189" t="s">
        <v>365</v>
      </c>
      <c r="C189" t="s">
        <v>63</v>
      </c>
      <c r="D189" t="s">
        <v>64</v>
      </c>
      <c r="H189" s="12">
        <v>0.49480000000000002</v>
      </c>
      <c r="J189" s="12">
        <v>0.49480000000000002</v>
      </c>
    </row>
    <row r="190" spans="1:10" x14ac:dyDescent="0.35">
      <c r="A190" t="s">
        <v>366</v>
      </c>
      <c r="B190" t="s">
        <v>367</v>
      </c>
      <c r="C190" t="s">
        <v>63</v>
      </c>
      <c r="D190" t="s">
        <v>237</v>
      </c>
      <c r="H190" s="12">
        <v>0.54349999999999998</v>
      </c>
      <c r="J190" s="12">
        <v>0.54349999999999998</v>
      </c>
    </row>
    <row r="191" spans="1:10" x14ac:dyDescent="0.35">
      <c r="A191" t="s">
        <v>368</v>
      </c>
      <c r="B191" t="s">
        <v>367</v>
      </c>
      <c r="C191" t="s">
        <v>63</v>
      </c>
      <c r="D191" t="s">
        <v>237</v>
      </c>
      <c r="H191" s="12">
        <v>0.58930000000000005</v>
      </c>
      <c r="J191" s="12">
        <v>0.58930000000000005</v>
      </c>
    </row>
    <row r="192" spans="1:10" x14ac:dyDescent="0.35">
      <c r="A192" t="s">
        <v>369</v>
      </c>
      <c r="B192" t="s">
        <v>184</v>
      </c>
      <c r="C192" t="s">
        <v>63</v>
      </c>
      <c r="D192" t="s">
        <v>64</v>
      </c>
      <c r="E192" s="12">
        <v>0.30959999999999999</v>
      </c>
      <c r="G192" s="12">
        <v>0.58330000000000004</v>
      </c>
      <c r="H192" s="12">
        <v>1</v>
      </c>
      <c r="J192" s="12">
        <v>0.34200000000000003</v>
      </c>
    </row>
    <row r="193" spans="1:10" x14ac:dyDescent="0.35">
      <c r="A193" t="s">
        <v>370</v>
      </c>
      <c r="B193" t="s">
        <v>170</v>
      </c>
      <c r="C193" t="s">
        <v>63</v>
      </c>
      <c r="D193" t="s">
        <v>78</v>
      </c>
      <c r="G193" s="12">
        <v>0.76349999999999996</v>
      </c>
      <c r="J193" s="12">
        <v>0.76349999999999996</v>
      </c>
    </row>
    <row r="194" spans="1:10" x14ac:dyDescent="0.35">
      <c r="A194" t="s">
        <v>371</v>
      </c>
      <c r="B194" t="s">
        <v>77</v>
      </c>
      <c r="C194" t="s">
        <v>86</v>
      </c>
      <c r="D194" t="s">
        <v>64</v>
      </c>
      <c r="F194" s="12">
        <v>0.98680000000000001</v>
      </c>
      <c r="H194" s="12">
        <v>0.57240000000000002</v>
      </c>
      <c r="I194" s="12">
        <v>1</v>
      </c>
      <c r="J194" s="12">
        <v>0.58379999999999999</v>
      </c>
    </row>
    <row r="195" spans="1:10" x14ac:dyDescent="0.35">
      <c r="A195" t="s">
        <v>372</v>
      </c>
      <c r="B195" t="s">
        <v>278</v>
      </c>
      <c r="C195" t="s">
        <v>86</v>
      </c>
      <c r="D195" t="s">
        <v>64</v>
      </c>
      <c r="F195" s="12">
        <v>0.78590000000000004</v>
      </c>
      <c r="G195" s="12">
        <v>0.35</v>
      </c>
      <c r="H195" s="12">
        <v>0.76180000000000003</v>
      </c>
      <c r="I195" s="12">
        <v>0.72109999999999996</v>
      </c>
      <c r="J195" s="12">
        <v>0.76490000000000002</v>
      </c>
    </row>
    <row r="196" spans="1:10" x14ac:dyDescent="0.35">
      <c r="A196" t="s">
        <v>373</v>
      </c>
      <c r="B196" t="s">
        <v>180</v>
      </c>
      <c r="C196" t="s">
        <v>63</v>
      </c>
      <c r="D196" t="s">
        <v>64</v>
      </c>
      <c r="E196" s="12">
        <v>0.34429999999999999</v>
      </c>
      <c r="F196" s="12">
        <v>0</v>
      </c>
      <c r="G196" s="12">
        <v>0.3992</v>
      </c>
      <c r="H196" s="12">
        <v>0.70369999999999999</v>
      </c>
      <c r="I196" s="12">
        <v>0.7097</v>
      </c>
      <c r="J196" s="12">
        <v>0.34989999999999999</v>
      </c>
    </row>
    <row r="197" spans="1:10" x14ac:dyDescent="0.35">
      <c r="A197" t="s">
        <v>374</v>
      </c>
      <c r="B197" t="s">
        <v>375</v>
      </c>
      <c r="C197" t="s">
        <v>63</v>
      </c>
      <c r="D197" t="s">
        <v>64</v>
      </c>
      <c r="G197" s="12">
        <v>0.67900000000000005</v>
      </c>
      <c r="J197" s="12">
        <v>0.67900000000000005</v>
      </c>
    </row>
    <row r="198" spans="1:10" x14ac:dyDescent="0.35">
      <c r="A198" t="s">
        <v>376</v>
      </c>
      <c r="B198" t="s">
        <v>377</v>
      </c>
      <c r="C198" t="s">
        <v>63</v>
      </c>
      <c r="D198" t="s">
        <v>64</v>
      </c>
      <c r="H198" s="12">
        <v>0.52839999999999998</v>
      </c>
      <c r="J198" s="12">
        <v>0.52839999999999998</v>
      </c>
    </row>
    <row r="199" spans="1:10" x14ac:dyDescent="0.35">
      <c r="A199" t="s">
        <v>378</v>
      </c>
      <c r="B199" t="s">
        <v>77</v>
      </c>
      <c r="C199" t="s">
        <v>63</v>
      </c>
      <c r="D199" t="s">
        <v>64</v>
      </c>
      <c r="E199" s="12">
        <v>0.74539999999999995</v>
      </c>
      <c r="I199" s="12">
        <v>0.74350000000000005</v>
      </c>
      <c r="J199" s="12">
        <v>0.74390000000000001</v>
      </c>
    </row>
    <row r="200" spans="1:10" x14ac:dyDescent="0.35">
      <c r="A200" t="s">
        <v>379</v>
      </c>
      <c r="B200" t="s">
        <v>77</v>
      </c>
      <c r="C200" t="s">
        <v>63</v>
      </c>
      <c r="D200" t="s">
        <v>64</v>
      </c>
      <c r="F200" s="12">
        <v>0.87470000000000003</v>
      </c>
      <c r="G200" s="12">
        <v>1</v>
      </c>
      <c r="H200" s="12">
        <v>1</v>
      </c>
      <c r="I200" s="12">
        <v>0.8548</v>
      </c>
      <c r="J200" s="12">
        <v>0.87260000000000004</v>
      </c>
    </row>
    <row r="201" spans="1:10" x14ac:dyDescent="0.35">
      <c r="A201" t="s">
        <v>380</v>
      </c>
      <c r="B201" t="s">
        <v>381</v>
      </c>
      <c r="C201" t="s">
        <v>63</v>
      </c>
      <c r="D201" t="s">
        <v>64</v>
      </c>
      <c r="E201" s="12">
        <v>0.40570000000000001</v>
      </c>
      <c r="G201" s="12">
        <v>0.40679999999999999</v>
      </c>
      <c r="H201" s="12">
        <v>0.27589999999999998</v>
      </c>
      <c r="J201" s="12">
        <v>0.40560000000000002</v>
      </c>
    </row>
    <row r="202" spans="1:10" x14ac:dyDescent="0.35">
      <c r="A202" t="s">
        <v>382</v>
      </c>
      <c r="B202" t="s">
        <v>383</v>
      </c>
      <c r="C202" t="s">
        <v>63</v>
      </c>
      <c r="D202" t="s">
        <v>64</v>
      </c>
      <c r="H202" s="12">
        <v>0.49099999999999999</v>
      </c>
      <c r="J202" s="12">
        <v>0.49099999999999999</v>
      </c>
    </row>
    <row r="203" spans="1:10" x14ac:dyDescent="0.35">
      <c r="A203" t="s">
        <v>384</v>
      </c>
      <c r="B203" t="s">
        <v>385</v>
      </c>
      <c r="C203" t="s">
        <v>63</v>
      </c>
      <c r="D203" t="s">
        <v>64</v>
      </c>
      <c r="E203" s="12">
        <v>0.76649999999999996</v>
      </c>
      <c r="J203" s="12">
        <v>0.76649999999999996</v>
      </c>
    </row>
    <row r="204" spans="1:10" x14ac:dyDescent="0.35">
      <c r="A204" t="s">
        <v>386</v>
      </c>
      <c r="B204" t="s">
        <v>387</v>
      </c>
      <c r="C204" t="s">
        <v>63</v>
      </c>
      <c r="D204" t="s">
        <v>64</v>
      </c>
      <c r="E204" s="12">
        <v>0.7571</v>
      </c>
      <c r="F204" s="12">
        <v>0.66669999999999996</v>
      </c>
      <c r="G204" s="12">
        <v>0.8</v>
      </c>
      <c r="I204" s="12">
        <v>0.4168</v>
      </c>
      <c r="J204" s="12">
        <v>0.46879999999999999</v>
      </c>
    </row>
    <row r="205" spans="1:10" x14ac:dyDescent="0.35">
      <c r="A205" t="s">
        <v>388</v>
      </c>
      <c r="B205" t="s">
        <v>311</v>
      </c>
      <c r="C205" t="s">
        <v>63</v>
      </c>
      <c r="D205" t="s">
        <v>64</v>
      </c>
      <c r="G205" s="12">
        <v>0.64390000000000003</v>
      </c>
      <c r="J205" s="12">
        <v>0.64390000000000003</v>
      </c>
    </row>
    <row r="206" spans="1:10" x14ac:dyDescent="0.35">
      <c r="A206" t="s">
        <v>389</v>
      </c>
      <c r="B206" t="s">
        <v>390</v>
      </c>
      <c r="C206" t="s">
        <v>63</v>
      </c>
      <c r="D206" t="s">
        <v>64</v>
      </c>
      <c r="H206" s="12">
        <v>0.90939999999999999</v>
      </c>
      <c r="J206" s="12">
        <v>0.90939999999999999</v>
      </c>
    </row>
    <row r="207" spans="1:10" x14ac:dyDescent="0.35">
      <c r="A207" t="s">
        <v>391</v>
      </c>
      <c r="B207" t="s">
        <v>392</v>
      </c>
      <c r="C207" t="s">
        <v>63</v>
      </c>
      <c r="D207" t="s">
        <v>78</v>
      </c>
      <c r="H207" s="12">
        <v>6.9900000000000004E-2</v>
      </c>
      <c r="J207" s="12">
        <v>6.9900000000000004E-2</v>
      </c>
    </row>
    <row r="208" spans="1:10" x14ac:dyDescent="0.35">
      <c r="A208" t="s">
        <v>393</v>
      </c>
      <c r="B208" t="s">
        <v>394</v>
      </c>
      <c r="C208" t="s">
        <v>63</v>
      </c>
      <c r="D208" t="s">
        <v>64</v>
      </c>
      <c r="F208" s="12">
        <v>0.6946</v>
      </c>
      <c r="I208" s="12">
        <v>0.65780000000000005</v>
      </c>
      <c r="J208" s="12">
        <v>0.67049999999999998</v>
      </c>
    </row>
    <row r="209" spans="1:10" x14ac:dyDescent="0.35">
      <c r="A209" t="s">
        <v>395</v>
      </c>
      <c r="B209" t="s">
        <v>396</v>
      </c>
      <c r="C209" t="s">
        <v>63</v>
      </c>
      <c r="D209" t="s">
        <v>64</v>
      </c>
      <c r="E209" s="12">
        <v>0.66020000000000001</v>
      </c>
      <c r="J209" s="12">
        <v>0.66020000000000001</v>
      </c>
    </row>
    <row r="210" spans="1:10" x14ac:dyDescent="0.35">
      <c r="A210" t="s">
        <v>397</v>
      </c>
      <c r="B210" t="s">
        <v>398</v>
      </c>
      <c r="C210" t="s">
        <v>86</v>
      </c>
      <c r="D210" t="s">
        <v>64</v>
      </c>
      <c r="H210" s="12">
        <v>0.49540000000000001</v>
      </c>
      <c r="J210" s="12">
        <v>0.49540000000000001</v>
      </c>
    </row>
    <row r="211" spans="1:10" x14ac:dyDescent="0.35">
      <c r="A211" t="s">
        <v>399</v>
      </c>
      <c r="B211" t="s">
        <v>400</v>
      </c>
      <c r="C211" t="s">
        <v>63</v>
      </c>
      <c r="D211" t="s">
        <v>78</v>
      </c>
      <c r="H211" s="12">
        <v>0.38740000000000002</v>
      </c>
      <c r="J211" s="12">
        <v>0.38740000000000002</v>
      </c>
    </row>
    <row r="212" spans="1:10" x14ac:dyDescent="0.35">
      <c r="A212" t="s">
        <v>401</v>
      </c>
      <c r="B212" t="s">
        <v>402</v>
      </c>
      <c r="C212" t="s">
        <v>63</v>
      </c>
      <c r="D212" t="s">
        <v>64</v>
      </c>
      <c r="H212" s="12">
        <v>4.5499999999999999E-2</v>
      </c>
      <c r="J212" s="12">
        <v>4.5499999999999999E-2</v>
      </c>
    </row>
    <row r="213" spans="1:10" x14ac:dyDescent="0.35">
      <c r="A213" t="s">
        <v>403</v>
      </c>
      <c r="B213" t="s">
        <v>77</v>
      </c>
      <c r="C213" t="s">
        <v>63</v>
      </c>
      <c r="D213" t="s">
        <v>64</v>
      </c>
      <c r="F213" s="12">
        <v>0.6845</v>
      </c>
      <c r="H213" s="12">
        <v>0.61960000000000004</v>
      </c>
      <c r="I213" s="12">
        <v>0.63929999999999998</v>
      </c>
      <c r="J213" s="12">
        <v>0.66410000000000002</v>
      </c>
    </row>
    <row r="214" spans="1:10" x14ac:dyDescent="0.35">
      <c r="A214" t="s">
        <v>404</v>
      </c>
      <c r="B214" t="s">
        <v>102</v>
      </c>
      <c r="C214" t="s">
        <v>63</v>
      </c>
      <c r="D214" t="s">
        <v>64</v>
      </c>
      <c r="H214" s="12">
        <v>0.57220000000000004</v>
      </c>
      <c r="J214" s="12">
        <v>0.57220000000000004</v>
      </c>
    </row>
    <row r="215" spans="1:10" x14ac:dyDescent="0.35">
      <c r="A215" t="s">
        <v>405</v>
      </c>
      <c r="B215" t="s">
        <v>406</v>
      </c>
      <c r="C215" t="s">
        <v>63</v>
      </c>
      <c r="D215" t="s">
        <v>64</v>
      </c>
      <c r="H215" s="12">
        <v>0.87719999999999998</v>
      </c>
      <c r="J215" s="12">
        <v>0.87719999999999998</v>
      </c>
    </row>
    <row r="216" spans="1:10" x14ac:dyDescent="0.35">
      <c r="A216" t="s">
        <v>407</v>
      </c>
      <c r="B216" t="s">
        <v>77</v>
      </c>
      <c r="C216" t="s">
        <v>63</v>
      </c>
      <c r="D216" t="s">
        <v>64</v>
      </c>
      <c r="E216" s="12">
        <v>0.629</v>
      </c>
      <c r="G216" s="12">
        <v>0.7944</v>
      </c>
      <c r="H216" s="12">
        <v>0.42859999999999998</v>
      </c>
      <c r="I216" s="12">
        <v>1</v>
      </c>
      <c r="J216" s="12">
        <v>0.66539999999999999</v>
      </c>
    </row>
    <row r="217" spans="1:10" x14ac:dyDescent="0.35">
      <c r="A217" t="s">
        <v>408</v>
      </c>
      <c r="B217" t="s">
        <v>409</v>
      </c>
      <c r="C217" t="s">
        <v>63</v>
      </c>
      <c r="D217" t="s">
        <v>78</v>
      </c>
      <c r="E217" s="12">
        <v>0.73729999999999996</v>
      </c>
      <c r="J217" s="12">
        <v>0.73729999999999996</v>
      </c>
    </row>
    <row r="218" spans="1:10" x14ac:dyDescent="0.35">
      <c r="A218" t="s">
        <v>410</v>
      </c>
      <c r="B218" t="s">
        <v>411</v>
      </c>
      <c r="C218" t="s">
        <v>63</v>
      </c>
      <c r="D218" t="s">
        <v>64</v>
      </c>
      <c r="E218" s="12">
        <v>0.59530000000000005</v>
      </c>
      <c r="I218" s="12">
        <v>1</v>
      </c>
      <c r="J218" s="12">
        <v>0.59550000000000003</v>
      </c>
    </row>
    <row r="219" spans="1:10" x14ac:dyDescent="0.35">
      <c r="A219" t="s">
        <v>412</v>
      </c>
      <c r="B219" t="s">
        <v>413</v>
      </c>
      <c r="C219" t="s">
        <v>63</v>
      </c>
      <c r="D219" t="s">
        <v>64</v>
      </c>
      <c r="F219" s="12">
        <v>0.71430000000000005</v>
      </c>
      <c r="G219" s="12">
        <v>1</v>
      </c>
      <c r="H219" s="12">
        <v>0.76219999999999999</v>
      </c>
      <c r="I219" s="12">
        <v>0.81569999999999998</v>
      </c>
      <c r="J219" s="12">
        <v>0.75509999999999999</v>
      </c>
    </row>
    <row r="220" spans="1:10" x14ac:dyDescent="0.35">
      <c r="A220" t="s">
        <v>414</v>
      </c>
      <c r="B220" t="s">
        <v>413</v>
      </c>
      <c r="C220" t="s">
        <v>63</v>
      </c>
      <c r="D220" t="s">
        <v>64</v>
      </c>
      <c r="H220" s="12">
        <v>0.73619999999999997</v>
      </c>
      <c r="J220" s="12">
        <v>0.73619999999999997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78C4-A351-4A2B-A873-F3FFD99D0784}">
  <dimension ref="A1:J220"/>
  <sheetViews>
    <sheetView zoomScale="81" zoomScaleNormal="81" workbookViewId="0">
      <selection activeCell="B14" sqref="B14"/>
    </sheetView>
  </sheetViews>
  <sheetFormatPr defaultRowHeight="14.5" x14ac:dyDescent="0.35"/>
  <cols>
    <col min="1" max="1" width="58" bestFit="1" customWidth="1"/>
    <col min="2" max="2" width="44.81640625" bestFit="1" customWidth="1"/>
    <col min="3" max="3" width="16.7265625" customWidth="1"/>
    <col min="4" max="4" width="22.81640625" bestFit="1" customWidth="1"/>
    <col min="5" max="5" width="24.81640625" customWidth="1"/>
    <col min="6" max="6" width="26.26953125" customWidth="1"/>
    <col min="7" max="7" width="15.7265625" customWidth="1"/>
    <col min="8" max="8" width="28.1796875" customWidth="1"/>
    <col min="9" max="9" width="14.453125" customWidth="1"/>
    <col min="10" max="10" width="13.453125" customWidth="1"/>
  </cols>
  <sheetData>
    <row r="1" spans="1:10" x14ac:dyDescent="0.35">
      <c r="A1" t="s">
        <v>52</v>
      </c>
      <c r="B1" t="s">
        <v>53</v>
      </c>
      <c r="C1" t="s">
        <v>54</v>
      </c>
      <c r="D1" t="s">
        <v>7</v>
      </c>
      <c r="E1" t="s">
        <v>55</v>
      </c>
      <c r="F1" t="s">
        <v>56</v>
      </c>
      <c r="G1" t="s">
        <v>57</v>
      </c>
      <c r="H1" t="s">
        <v>58</v>
      </c>
      <c r="I1" t="s">
        <v>59</v>
      </c>
      <c r="J1" s="12" t="s">
        <v>60</v>
      </c>
    </row>
    <row r="2" spans="1:10" x14ac:dyDescent="0.35">
      <c r="A2" t="s">
        <v>61</v>
      </c>
      <c r="B2" t="s">
        <v>62</v>
      </c>
      <c r="C2" t="s">
        <v>63</v>
      </c>
      <c r="D2" t="s">
        <v>64</v>
      </c>
      <c r="E2" s="12">
        <v>0.83330000000000004</v>
      </c>
      <c r="G2" s="12">
        <v>0.63629999999999998</v>
      </c>
      <c r="H2" s="12"/>
      <c r="J2" s="12">
        <v>0.63890000000000002</v>
      </c>
    </row>
    <row r="3" spans="1:10" x14ac:dyDescent="0.35">
      <c r="A3" t="s">
        <v>65</v>
      </c>
      <c r="B3" t="s">
        <v>66</v>
      </c>
      <c r="C3" t="s">
        <v>63</v>
      </c>
      <c r="D3" t="s">
        <v>64</v>
      </c>
      <c r="H3" s="12">
        <v>0.37640000000000001</v>
      </c>
      <c r="J3" s="12">
        <v>0.37640000000000001</v>
      </c>
    </row>
    <row r="4" spans="1:10" x14ac:dyDescent="0.35">
      <c r="A4" t="s">
        <v>67</v>
      </c>
      <c r="B4" t="s">
        <v>68</v>
      </c>
      <c r="C4" t="s">
        <v>63</v>
      </c>
      <c r="D4" t="s">
        <v>64</v>
      </c>
      <c r="H4" s="12">
        <v>0.58450000000000002</v>
      </c>
      <c r="J4" s="12">
        <v>0.58450000000000002</v>
      </c>
    </row>
    <row r="5" spans="1:10" x14ac:dyDescent="0.35">
      <c r="A5" t="s">
        <v>69</v>
      </c>
      <c r="B5" t="s">
        <v>70</v>
      </c>
      <c r="C5" t="s">
        <v>63</v>
      </c>
      <c r="D5" t="s">
        <v>64</v>
      </c>
      <c r="H5" s="12">
        <v>0.4723</v>
      </c>
      <c r="J5" s="12">
        <v>0.4723</v>
      </c>
    </row>
    <row r="6" spans="1:10" x14ac:dyDescent="0.35">
      <c r="A6" t="s">
        <v>71</v>
      </c>
      <c r="B6" t="s">
        <v>72</v>
      </c>
      <c r="C6" t="s">
        <v>63</v>
      </c>
      <c r="D6" t="s">
        <v>73</v>
      </c>
      <c r="H6" s="12">
        <v>0.4975</v>
      </c>
      <c r="J6" s="12">
        <v>0.4975</v>
      </c>
    </row>
    <row r="7" spans="1:10" x14ac:dyDescent="0.35">
      <c r="A7" t="s">
        <v>74</v>
      </c>
      <c r="B7" t="s">
        <v>75</v>
      </c>
      <c r="C7" t="s">
        <v>63</v>
      </c>
      <c r="D7" t="s">
        <v>64</v>
      </c>
      <c r="G7" s="12">
        <v>0.85709999999999997</v>
      </c>
      <c r="H7" s="12"/>
      <c r="J7" s="12">
        <v>0.85709999999999997</v>
      </c>
    </row>
    <row r="8" spans="1:10" x14ac:dyDescent="0.35">
      <c r="A8" t="s">
        <v>76</v>
      </c>
      <c r="B8" t="s">
        <v>77</v>
      </c>
      <c r="C8" t="s">
        <v>63</v>
      </c>
      <c r="D8" t="s">
        <v>78</v>
      </c>
      <c r="H8" s="12">
        <v>0.214</v>
      </c>
      <c r="J8" s="12">
        <v>0.214</v>
      </c>
    </row>
    <row r="9" spans="1:10" x14ac:dyDescent="0.35">
      <c r="A9" t="s">
        <v>79</v>
      </c>
      <c r="B9" t="s">
        <v>80</v>
      </c>
      <c r="C9" t="s">
        <v>63</v>
      </c>
      <c r="D9" t="s">
        <v>64</v>
      </c>
      <c r="H9" s="12">
        <v>0.6542</v>
      </c>
      <c r="J9" s="12">
        <v>0.6542</v>
      </c>
    </row>
    <row r="10" spans="1:10" x14ac:dyDescent="0.35">
      <c r="A10" t="s">
        <v>81</v>
      </c>
      <c r="B10" t="s">
        <v>82</v>
      </c>
      <c r="C10" t="s">
        <v>63</v>
      </c>
      <c r="D10" t="s">
        <v>64</v>
      </c>
      <c r="E10" s="12"/>
      <c r="G10" s="12"/>
      <c r="H10" s="12">
        <v>0.54159999999999997</v>
      </c>
      <c r="J10" s="12">
        <v>0.54159999999999997</v>
      </c>
    </row>
    <row r="11" spans="1:10" x14ac:dyDescent="0.35">
      <c r="A11" t="s">
        <v>83</v>
      </c>
      <c r="B11" t="s">
        <v>82</v>
      </c>
      <c r="C11" t="s">
        <v>63</v>
      </c>
      <c r="D11" t="s">
        <v>64</v>
      </c>
      <c r="E11" s="12"/>
      <c r="H11" s="12">
        <v>0.51129999999999998</v>
      </c>
      <c r="J11" s="12">
        <v>0.51129999999999998</v>
      </c>
    </row>
    <row r="12" spans="1:10" x14ac:dyDescent="0.35">
      <c r="A12" t="s">
        <v>84</v>
      </c>
      <c r="B12" t="s">
        <v>85</v>
      </c>
      <c r="C12" t="s">
        <v>86</v>
      </c>
      <c r="D12" t="s">
        <v>64</v>
      </c>
      <c r="H12" s="12">
        <v>0.46760000000000002</v>
      </c>
      <c r="J12" s="12">
        <v>0.46760000000000002</v>
      </c>
    </row>
    <row r="13" spans="1:10" x14ac:dyDescent="0.35">
      <c r="A13" t="s">
        <v>87</v>
      </c>
      <c r="B13" t="s">
        <v>88</v>
      </c>
      <c r="C13" t="s">
        <v>63</v>
      </c>
      <c r="D13" t="s">
        <v>78</v>
      </c>
      <c r="F13" s="12">
        <v>0.53400000000000003</v>
      </c>
      <c r="I13" s="12"/>
      <c r="J13" s="12">
        <v>0.53400000000000003</v>
      </c>
    </row>
    <row r="14" spans="1:10" x14ac:dyDescent="0.35">
      <c r="A14" t="s">
        <v>89</v>
      </c>
      <c r="B14" t="s">
        <v>88</v>
      </c>
      <c r="C14" t="s">
        <v>63</v>
      </c>
      <c r="D14" t="s">
        <v>78</v>
      </c>
      <c r="E14" s="12">
        <v>0.68179999999999996</v>
      </c>
      <c r="F14" s="12">
        <v>0.48180000000000001</v>
      </c>
      <c r="I14" s="12">
        <v>0.51019999999999999</v>
      </c>
      <c r="J14" s="12">
        <v>0.50949999999999995</v>
      </c>
    </row>
    <row r="15" spans="1:10" x14ac:dyDescent="0.35">
      <c r="A15" t="s">
        <v>90</v>
      </c>
      <c r="B15" t="s">
        <v>91</v>
      </c>
      <c r="C15" t="s">
        <v>63</v>
      </c>
      <c r="D15" t="s">
        <v>64</v>
      </c>
      <c r="E15" s="12">
        <v>0.70820000000000005</v>
      </c>
      <c r="G15" s="12">
        <v>0.70579999999999998</v>
      </c>
      <c r="H15" s="12"/>
      <c r="J15" s="12">
        <v>0.70699999999999996</v>
      </c>
    </row>
    <row r="16" spans="1:10" x14ac:dyDescent="0.35">
      <c r="A16" t="s">
        <v>92</v>
      </c>
      <c r="B16" t="s">
        <v>93</v>
      </c>
      <c r="C16" t="s">
        <v>63</v>
      </c>
      <c r="D16" t="s">
        <v>64</v>
      </c>
      <c r="F16" s="12"/>
      <c r="H16" s="12">
        <v>0.57250000000000001</v>
      </c>
      <c r="I16" s="12"/>
      <c r="J16" s="12">
        <v>0.57250000000000001</v>
      </c>
    </row>
    <row r="17" spans="1:10" x14ac:dyDescent="0.35">
      <c r="A17" t="s">
        <v>94</v>
      </c>
      <c r="B17" t="s">
        <v>95</v>
      </c>
      <c r="C17" t="s">
        <v>63</v>
      </c>
      <c r="D17" t="s">
        <v>64</v>
      </c>
      <c r="E17" s="12">
        <v>0.33260000000000001</v>
      </c>
      <c r="H17" s="12">
        <v>8.9700000000000002E-2</v>
      </c>
      <c r="J17" s="12">
        <v>0.33129999999999998</v>
      </c>
    </row>
    <row r="18" spans="1:10" x14ac:dyDescent="0.35">
      <c r="A18" t="s">
        <v>96</v>
      </c>
      <c r="B18" t="s">
        <v>97</v>
      </c>
      <c r="C18" t="s">
        <v>63</v>
      </c>
      <c r="D18" t="s">
        <v>64</v>
      </c>
      <c r="H18" s="12">
        <v>0.53180000000000005</v>
      </c>
      <c r="I18" s="12"/>
      <c r="J18" s="12">
        <v>0.53180000000000005</v>
      </c>
    </row>
    <row r="19" spans="1:10" x14ac:dyDescent="0.35">
      <c r="A19" t="s">
        <v>98</v>
      </c>
      <c r="B19" t="s">
        <v>99</v>
      </c>
      <c r="C19" t="s">
        <v>63</v>
      </c>
      <c r="D19" t="s">
        <v>64</v>
      </c>
      <c r="E19" s="12"/>
      <c r="H19" s="12">
        <v>0.50249999999999995</v>
      </c>
      <c r="J19" s="12">
        <v>0.50249999999999995</v>
      </c>
    </row>
    <row r="20" spans="1:10" x14ac:dyDescent="0.35">
      <c r="A20" t="s">
        <v>100</v>
      </c>
      <c r="B20" t="s">
        <v>77</v>
      </c>
      <c r="C20" t="s">
        <v>63</v>
      </c>
      <c r="D20" t="s">
        <v>64</v>
      </c>
      <c r="E20" s="12"/>
      <c r="G20" s="12"/>
      <c r="H20" s="12">
        <v>0.56310000000000004</v>
      </c>
      <c r="J20" s="12">
        <v>0.56310000000000004</v>
      </c>
    </row>
    <row r="21" spans="1:10" x14ac:dyDescent="0.35">
      <c r="A21" t="s">
        <v>101</v>
      </c>
      <c r="B21" t="s">
        <v>102</v>
      </c>
      <c r="C21" t="s">
        <v>63</v>
      </c>
      <c r="D21" t="s">
        <v>64</v>
      </c>
      <c r="E21" s="12"/>
      <c r="H21" s="12">
        <v>0.51519999999999999</v>
      </c>
      <c r="J21" s="12">
        <v>0.51519999999999999</v>
      </c>
    </row>
    <row r="22" spans="1:10" x14ac:dyDescent="0.35">
      <c r="A22" t="s">
        <v>103</v>
      </c>
      <c r="B22" t="s">
        <v>104</v>
      </c>
      <c r="C22" t="s">
        <v>63</v>
      </c>
      <c r="D22" t="s">
        <v>64</v>
      </c>
      <c r="E22" s="12"/>
      <c r="H22" s="12">
        <v>0.53259999999999996</v>
      </c>
      <c r="J22" s="12">
        <v>0.53259999999999996</v>
      </c>
    </row>
    <row r="23" spans="1:10" x14ac:dyDescent="0.35">
      <c r="A23" t="s">
        <v>105</v>
      </c>
      <c r="B23" t="s">
        <v>106</v>
      </c>
      <c r="C23" t="s">
        <v>86</v>
      </c>
      <c r="D23" t="s">
        <v>64</v>
      </c>
      <c r="H23" s="12">
        <v>0.61950000000000005</v>
      </c>
      <c r="J23" s="12">
        <v>0.61950000000000005</v>
      </c>
    </row>
    <row r="24" spans="1:10" x14ac:dyDescent="0.35">
      <c r="A24" t="s">
        <v>107</v>
      </c>
      <c r="B24" t="s">
        <v>108</v>
      </c>
      <c r="C24" t="s">
        <v>63</v>
      </c>
      <c r="D24" t="s">
        <v>109</v>
      </c>
      <c r="E24" s="12">
        <v>0.27779999999999999</v>
      </c>
      <c r="F24" s="12"/>
      <c r="G24" s="12">
        <v>0.30570000000000003</v>
      </c>
      <c r="H24" s="12"/>
      <c r="I24" s="12"/>
      <c r="J24" s="12">
        <v>0.30199999999999999</v>
      </c>
    </row>
    <row r="25" spans="1:10" x14ac:dyDescent="0.35">
      <c r="A25" t="s">
        <v>110</v>
      </c>
      <c r="B25" t="s">
        <v>111</v>
      </c>
      <c r="C25" t="s">
        <v>63</v>
      </c>
      <c r="D25" t="s">
        <v>64</v>
      </c>
      <c r="F25" s="12"/>
      <c r="H25" s="12">
        <v>0.4607</v>
      </c>
      <c r="J25" s="12">
        <v>0.4607</v>
      </c>
    </row>
    <row r="26" spans="1:10" x14ac:dyDescent="0.35">
      <c r="A26" t="s">
        <v>112</v>
      </c>
      <c r="B26" t="s">
        <v>113</v>
      </c>
      <c r="C26" t="s">
        <v>63</v>
      </c>
      <c r="D26" t="s">
        <v>109</v>
      </c>
      <c r="E26" s="12"/>
      <c r="H26" s="12">
        <v>0.56100000000000005</v>
      </c>
      <c r="J26" s="12">
        <v>0.56100000000000005</v>
      </c>
    </row>
    <row r="27" spans="1:10" x14ac:dyDescent="0.35">
      <c r="A27" t="s">
        <v>114</v>
      </c>
      <c r="B27" t="s">
        <v>115</v>
      </c>
      <c r="C27" t="s">
        <v>63</v>
      </c>
      <c r="D27" t="s">
        <v>64</v>
      </c>
      <c r="F27" s="12"/>
      <c r="H27" s="12">
        <v>0.1719</v>
      </c>
      <c r="I27" s="12"/>
      <c r="J27" s="12">
        <v>0.1719</v>
      </c>
    </row>
    <row r="28" spans="1:10" x14ac:dyDescent="0.35">
      <c r="A28" t="s">
        <v>116</v>
      </c>
      <c r="B28" t="s">
        <v>68</v>
      </c>
      <c r="C28" t="s">
        <v>63</v>
      </c>
      <c r="D28" t="s">
        <v>64</v>
      </c>
      <c r="F28" s="12"/>
      <c r="H28" s="12">
        <v>0.4365</v>
      </c>
      <c r="I28" s="12"/>
      <c r="J28" s="12">
        <v>0.4365</v>
      </c>
    </row>
    <row r="29" spans="1:10" x14ac:dyDescent="0.35">
      <c r="A29" t="s">
        <v>117</v>
      </c>
      <c r="B29" t="s">
        <v>118</v>
      </c>
      <c r="C29" t="s">
        <v>63</v>
      </c>
      <c r="D29" t="s">
        <v>73</v>
      </c>
      <c r="E29" s="12"/>
      <c r="H29" s="12">
        <v>0.41720000000000002</v>
      </c>
      <c r="J29" s="12">
        <v>0.41720000000000002</v>
      </c>
    </row>
    <row r="30" spans="1:10" x14ac:dyDescent="0.35">
      <c r="A30" t="s">
        <v>119</v>
      </c>
      <c r="B30" t="s">
        <v>120</v>
      </c>
      <c r="C30" t="s">
        <v>63</v>
      </c>
      <c r="D30" t="s">
        <v>64</v>
      </c>
      <c r="H30" s="12">
        <v>0.38929999999999998</v>
      </c>
      <c r="J30" s="12">
        <v>0.38929999999999998</v>
      </c>
    </row>
    <row r="31" spans="1:10" x14ac:dyDescent="0.35">
      <c r="A31" t="s">
        <v>121</v>
      </c>
      <c r="B31" t="s">
        <v>122</v>
      </c>
      <c r="C31" t="s">
        <v>63</v>
      </c>
      <c r="D31" t="s">
        <v>64</v>
      </c>
      <c r="H31" s="12">
        <v>0.27039999999999997</v>
      </c>
      <c r="J31" s="12">
        <v>0.27039999999999997</v>
      </c>
    </row>
    <row r="32" spans="1:10" x14ac:dyDescent="0.35">
      <c r="A32" t="s">
        <v>123</v>
      </c>
      <c r="B32" t="s">
        <v>122</v>
      </c>
      <c r="C32" t="s">
        <v>63</v>
      </c>
      <c r="D32" t="s">
        <v>64</v>
      </c>
      <c r="E32" s="12"/>
      <c r="F32" s="12"/>
      <c r="G32" s="12"/>
      <c r="H32" s="12">
        <v>0.56269999999999998</v>
      </c>
      <c r="J32" s="12">
        <v>0.56269999999999998</v>
      </c>
    </row>
    <row r="33" spans="1:10" x14ac:dyDescent="0.35">
      <c r="A33" t="s">
        <v>124</v>
      </c>
      <c r="B33" t="s">
        <v>122</v>
      </c>
      <c r="C33" t="s">
        <v>63</v>
      </c>
      <c r="D33" t="s">
        <v>64</v>
      </c>
      <c r="F33" s="12">
        <v>0.68410000000000004</v>
      </c>
      <c r="G33" s="12">
        <v>0.40160000000000001</v>
      </c>
      <c r="H33" s="12">
        <v>0.58830000000000005</v>
      </c>
      <c r="I33" s="12">
        <v>0.76680000000000004</v>
      </c>
      <c r="J33" s="12">
        <v>0.66920000000000002</v>
      </c>
    </row>
    <row r="34" spans="1:10" x14ac:dyDescent="0.35">
      <c r="A34" t="s">
        <v>125</v>
      </c>
      <c r="B34" t="s">
        <v>122</v>
      </c>
      <c r="C34" t="s">
        <v>63</v>
      </c>
      <c r="D34" t="s">
        <v>64</v>
      </c>
      <c r="E34" s="12"/>
      <c r="F34" s="12"/>
      <c r="G34" s="12"/>
      <c r="H34" s="12">
        <v>0.49859999999999999</v>
      </c>
      <c r="I34" s="12"/>
      <c r="J34" s="12">
        <v>0.49859999999999999</v>
      </c>
    </row>
    <row r="35" spans="1:10" x14ac:dyDescent="0.35">
      <c r="A35" t="s">
        <v>126</v>
      </c>
      <c r="B35" t="s">
        <v>93</v>
      </c>
      <c r="C35" t="s">
        <v>86</v>
      </c>
      <c r="D35" t="s">
        <v>64</v>
      </c>
      <c r="H35" s="12">
        <v>0.79700000000000004</v>
      </c>
      <c r="J35" s="12">
        <v>0.79700000000000004</v>
      </c>
    </row>
    <row r="36" spans="1:10" x14ac:dyDescent="0.35">
      <c r="A36" t="s">
        <v>127</v>
      </c>
      <c r="B36" t="s">
        <v>93</v>
      </c>
      <c r="C36" t="s">
        <v>86</v>
      </c>
      <c r="D36" t="s">
        <v>64</v>
      </c>
      <c r="E36" s="12"/>
      <c r="H36" s="12">
        <v>0.35849999999999999</v>
      </c>
      <c r="I36" s="12"/>
      <c r="J36" s="12">
        <v>0.35849999999999999</v>
      </c>
    </row>
    <row r="37" spans="1:10" x14ac:dyDescent="0.35">
      <c r="A37" t="s">
        <v>128</v>
      </c>
      <c r="B37" t="s">
        <v>129</v>
      </c>
      <c r="C37" t="s">
        <v>63</v>
      </c>
      <c r="D37" t="s">
        <v>64</v>
      </c>
      <c r="G37" s="12"/>
      <c r="H37" s="12">
        <v>0.56840000000000002</v>
      </c>
      <c r="J37" s="12">
        <v>0.56840000000000002</v>
      </c>
    </row>
    <row r="38" spans="1:10" x14ac:dyDescent="0.35">
      <c r="A38" t="s">
        <v>130</v>
      </c>
      <c r="B38" t="s">
        <v>129</v>
      </c>
      <c r="C38" t="s">
        <v>63</v>
      </c>
      <c r="D38" t="s">
        <v>64</v>
      </c>
      <c r="H38" s="12">
        <v>0.58709999999999996</v>
      </c>
      <c r="J38" s="12">
        <v>0.58709999999999996</v>
      </c>
    </row>
    <row r="39" spans="1:10" x14ac:dyDescent="0.35">
      <c r="A39" t="s">
        <v>131</v>
      </c>
      <c r="B39" t="s">
        <v>129</v>
      </c>
      <c r="C39" t="s">
        <v>63</v>
      </c>
      <c r="D39" t="s">
        <v>64</v>
      </c>
      <c r="F39" s="12"/>
      <c r="H39" s="12">
        <v>0.54600000000000004</v>
      </c>
      <c r="I39" s="12"/>
      <c r="J39" s="12">
        <v>0.54600000000000004</v>
      </c>
    </row>
    <row r="40" spans="1:10" x14ac:dyDescent="0.35">
      <c r="A40" t="s">
        <v>132</v>
      </c>
      <c r="B40" t="s">
        <v>133</v>
      </c>
      <c r="C40" t="s">
        <v>86</v>
      </c>
      <c r="D40" t="s">
        <v>64</v>
      </c>
      <c r="E40" s="12">
        <v>0.44479999999999997</v>
      </c>
      <c r="G40" s="12">
        <v>0.30030000000000001</v>
      </c>
      <c r="J40" s="12">
        <v>0.39079999999999998</v>
      </c>
    </row>
    <row r="41" spans="1:10" x14ac:dyDescent="0.35">
      <c r="A41" t="s">
        <v>134</v>
      </c>
      <c r="B41" t="s">
        <v>135</v>
      </c>
      <c r="C41" t="s">
        <v>63</v>
      </c>
      <c r="D41" t="s">
        <v>64</v>
      </c>
      <c r="E41" s="12">
        <v>0.70150000000000001</v>
      </c>
      <c r="F41" s="12">
        <v>0.3</v>
      </c>
      <c r="G41" s="12">
        <v>0.57350000000000001</v>
      </c>
      <c r="H41" s="12">
        <v>0.2384</v>
      </c>
      <c r="I41" s="12">
        <v>0.3</v>
      </c>
      <c r="J41" s="12">
        <v>0.68059999999999998</v>
      </c>
    </row>
    <row r="42" spans="1:10" x14ac:dyDescent="0.35">
      <c r="A42" t="s">
        <v>136</v>
      </c>
      <c r="B42" t="s">
        <v>137</v>
      </c>
      <c r="C42" t="s">
        <v>63</v>
      </c>
      <c r="D42" t="s">
        <v>64</v>
      </c>
      <c r="E42" s="12">
        <v>0.60189999999999999</v>
      </c>
      <c r="F42" s="12">
        <v>0.65669999999999995</v>
      </c>
      <c r="G42" s="12">
        <v>1</v>
      </c>
      <c r="H42" s="12">
        <v>1</v>
      </c>
      <c r="I42" s="12">
        <v>0.66859999999999997</v>
      </c>
      <c r="J42" s="12">
        <v>0.60919999999999996</v>
      </c>
    </row>
    <row r="43" spans="1:10" x14ac:dyDescent="0.35">
      <c r="A43" t="s">
        <v>138</v>
      </c>
      <c r="B43" t="s">
        <v>137</v>
      </c>
      <c r="C43" t="s">
        <v>63</v>
      </c>
      <c r="D43" t="s">
        <v>64</v>
      </c>
      <c r="E43" s="12">
        <v>0.59770000000000001</v>
      </c>
      <c r="F43" s="12">
        <v>0</v>
      </c>
      <c r="G43" s="12">
        <v>0.75019999999999998</v>
      </c>
      <c r="H43" s="12">
        <v>0.20530000000000001</v>
      </c>
      <c r="I43" s="12">
        <v>0.69569999999999999</v>
      </c>
      <c r="J43" s="12">
        <v>0.60699999999999998</v>
      </c>
    </row>
    <row r="44" spans="1:10" x14ac:dyDescent="0.35">
      <c r="A44" t="s">
        <v>139</v>
      </c>
      <c r="B44" t="s">
        <v>68</v>
      </c>
      <c r="C44" t="s">
        <v>63</v>
      </c>
      <c r="D44" t="s">
        <v>64</v>
      </c>
      <c r="H44" s="12">
        <v>0.4572</v>
      </c>
      <c r="J44" s="12">
        <v>0.4572</v>
      </c>
    </row>
    <row r="45" spans="1:10" x14ac:dyDescent="0.35">
      <c r="A45" t="s">
        <v>140</v>
      </c>
      <c r="B45" t="s">
        <v>141</v>
      </c>
      <c r="C45" t="s">
        <v>86</v>
      </c>
      <c r="D45" t="s">
        <v>64</v>
      </c>
      <c r="H45" s="12">
        <v>0.93069999999999997</v>
      </c>
      <c r="J45" s="12">
        <v>0.93069999999999997</v>
      </c>
    </row>
    <row r="46" spans="1:10" x14ac:dyDescent="0.35">
      <c r="A46" t="s">
        <v>142</v>
      </c>
      <c r="B46" t="s">
        <v>143</v>
      </c>
      <c r="C46" t="s">
        <v>86</v>
      </c>
      <c r="D46" t="s">
        <v>64</v>
      </c>
      <c r="H46" s="12">
        <v>0.57130000000000003</v>
      </c>
      <c r="J46" s="12">
        <v>0.57130000000000003</v>
      </c>
    </row>
    <row r="47" spans="1:10" x14ac:dyDescent="0.35">
      <c r="A47" t="s">
        <v>144</v>
      </c>
      <c r="B47" t="s">
        <v>145</v>
      </c>
      <c r="C47" t="s">
        <v>63</v>
      </c>
      <c r="D47" t="s">
        <v>64</v>
      </c>
      <c r="G47" s="12">
        <v>0.52270000000000005</v>
      </c>
      <c r="J47" s="12">
        <v>0.52270000000000005</v>
      </c>
    </row>
    <row r="48" spans="1:10" x14ac:dyDescent="0.35">
      <c r="A48" t="s">
        <v>146</v>
      </c>
      <c r="B48" t="s">
        <v>147</v>
      </c>
      <c r="C48" t="s">
        <v>63</v>
      </c>
      <c r="D48" t="s">
        <v>109</v>
      </c>
      <c r="E48" s="12">
        <v>0.90180000000000005</v>
      </c>
      <c r="J48" s="12">
        <v>0.90180000000000005</v>
      </c>
    </row>
    <row r="49" spans="1:10" x14ac:dyDescent="0.35">
      <c r="A49" t="s">
        <v>148</v>
      </c>
      <c r="B49" t="s">
        <v>77</v>
      </c>
      <c r="C49" t="s">
        <v>63</v>
      </c>
      <c r="D49" t="s">
        <v>109</v>
      </c>
      <c r="H49" s="12">
        <v>0.37840000000000001</v>
      </c>
      <c r="J49" s="12">
        <v>0.37840000000000001</v>
      </c>
    </row>
    <row r="50" spans="1:10" x14ac:dyDescent="0.35">
      <c r="A50" t="s">
        <v>149</v>
      </c>
      <c r="B50" t="s">
        <v>150</v>
      </c>
      <c r="C50" t="s">
        <v>63</v>
      </c>
      <c r="D50" t="s">
        <v>64</v>
      </c>
      <c r="F50" s="12">
        <v>0.78129999999999999</v>
      </c>
      <c r="H50" s="12">
        <v>0.58150000000000002</v>
      </c>
      <c r="I50" s="12">
        <v>0.5</v>
      </c>
      <c r="J50" s="12">
        <v>0.68679999999999997</v>
      </c>
    </row>
    <row r="51" spans="1:10" x14ac:dyDescent="0.35">
      <c r="A51" t="s">
        <v>151</v>
      </c>
      <c r="B51" t="s">
        <v>152</v>
      </c>
      <c r="C51" t="s">
        <v>63</v>
      </c>
      <c r="D51" t="s">
        <v>64</v>
      </c>
      <c r="E51" s="12">
        <v>0.34289999999999998</v>
      </c>
      <c r="H51" s="12">
        <v>0.14810000000000001</v>
      </c>
      <c r="J51" s="12">
        <v>0.34279999999999999</v>
      </c>
    </row>
    <row r="52" spans="1:10" x14ac:dyDescent="0.35">
      <c r="A52" t="s">
        <v>153</v>
      </c>
      <c r="B52" t="s">
        <v>77</v>
      </c>
      <c r="C52" t="s">
        <v>86</v>
      </c>
      <c r="D52" t="s">
        <v>64</v>
      </c>
      <c r="H52" s="12">
        <v>0.2334</v>
      </c>
      <c r="J52" s="12">
        <v>0.2334</v>
      </c>
    </row>
    <row r="53" spans="1:10" x14ac:dyDescent="0.35">
      <c r="A53" t="s">
        <v>154</v>
      </c>
      <c r="B53" t="s">
        <v>155</v>
      </c>
      <c r="C53" t="s">
        <v>63</v>
      </c>
      <c r="D53" t="s">
        <v>64</v>
      </c>
      <c r="H53" s="12">
        <v>0.34620000000000001</v>
      </c>
      <c r="J53" s="12">
        <v>0.34620000000000001</v>
      </c>
    </row>
    <row r="54" spans="1:10" x14ac:dyDescent="0.35">
      <c r="A54" t="s">
        <v>156</v>
      </c>
      <c r="B54" t="s">
        <v>77</v>
      </c>
      <c r="D54" t="s">
        <v>64</v>
      </c>
      <c r="J54" s="12" t="e">
        <v>#N/A</v>
      </c>
    </row>
    <row r="55" spans="1:10" x14ac:dyDescent="0.35">
      <c r="A55" t="s">
        <v>157</v>
      </c>
      <c r="B55" t="s">
        <v>68</v>
      </c>
      <c r="C55" t="s">
        <v>63</v>
      </c>
      <c r="D55" t="s">
        <v>64</v>
      </c>
      <c r="H55" s="12">
        <v>0.44019999999999998</v>
      </c>
      <c r="J55" s="12">
        <v>0.44019999999999998</v>
      </c>
    </row>
    <row r="56" spans="1:10" x14ac:dyDescent="0.35">
      <c r="A56" t="s">
        <v>158</v>
      </c>
      <c r="B56" t="s">
        <v>159</v>
      </c>
      <c r="C56" t="s">
        <v>63</v>
      </c>
      <c r="D56" t="s">
        <v>78</v>
      </c>
      <c r="H56" s="12">
        <v>0.4577</v>
      </c>
      <c r="J56" s="12">
        <v>0.4577</v>
      </c>
    </row>
    <row r="57" spans="1:10" x14ac:dyDescent="0.35">
      <c r="A57" t="s">
        <v>160</v>
      </c>
      <c r="B57" t="s">
        <v>77</v>
      </c>
      <c r="C57" t="s">
        <v>63</v>
      </c>
      <c r="D57" t="s">
        <v>64</v>
      </c>
      <c r="H57" s="12">
        <v>0.38590000000000002</v>
      </c>
      <c r="J57" s="12">
        <v>0.38590000000000002</v>
      </c>
    </row>
    <row r="58" spans="1:10" x14ac:dyDescent="0.35">
      <c r="A58" t="s">
        <v>161</v>
      </c>
      <c r="B58" t="s">
        <v>162</v>
      </c>
      <c r="C58" t="s">
        <v>63</v>
      </c>
      <c r="D58" t="s">
        <v>64</v>
      </c>
      <c r="E58" s="12">
        <v>0.52580000000000005</v>
      </c>
      <c r="G58" s="12">
        <v>0.38619999999999999</v>
      </c>
      <c r="J58" s="12">
        <v>0.43869999999999998</v>
      </c>
    </row>
    <row r="59" spans="1:10" x14ac:dyDescent="0.35">
      <c r="A59" t="s">
        <v>163</v>
      </c>
      <c r="B59" t="s">
        <v>164</v>
      </c>
      <c r="C59" t="s">
        <v>63</v>
      </c>
      <c r="D59" t="s">
        <v>64</v>
      </c>
      <c r="H59" s="12">
        <v>0.64270000000000005</v>
      </c>
      <c r="J59" s="12">
        <v>0.64270000000000005</v>
      </c>
    </row>
    <row r="60" spans="1:10" x14ac:dyDescent="0.35">
      <c r="A60" t="s">
        <v>165</v>
      </c>
      <c r="B60" t="s">
        <v>166</v>
      </c>
      <c r="C60" t="s">
        <v>63</v>
      </c>
      <c r="D60" t="s">
        <v>64</v>
      </c>
      <c r="E60" s="12">
        <v>0.57110000000000005</v>
      </c>
      <c r="J60" s="12">
        <v>0.57110000000000005</v>
      </c>
    </row>
    <row r="61" spans="1:10" x14ac:dyDescent="0.35">
      <c r="A61" t="s">
        <v>167</v>
      </c>
      <c r="B61" t="s">
        <v>168</v>
      </c>
      <c r="C61" t="s">
        <v>63</v>
      </c>
      <c r="D61" t="s">
        <v>73</v>
      </c>
      <c r="E61" s="12">
        <v>0</v>
      </c>
      <c r="H61" s="12">
        <v>0.6</v>
      </c>
      <c r="J61" s="12">
        <v>7.7999999999999996E-3</v>
      </c>
    </row>
    <row r="62" spans="1:10" x14ac:dyDescent="0.35">
      <c r="A62" t="s">
        <v>169</v>
      </c>
      <c r="B62" t="s">
        <v>170</v>
      </c>
      <c r="C62" t="s">
        <v>86</v>
      </c>
      <c r="D62" t="s">
        <v>78</v>
      </c>
      <c r="E62" s="12">
        <v>0.64059999999999995</v>
      </c>
      <c r="G62" s="12">
        <v>0.64729999999999999</v>
      </c>
      <c r="H62" s="12">
        <v>0.55000000000000004</v>
      </c>
      <c r="I62" s="12">
        <v>0.5</v>
      </c>
      <c r="J62" s="12">
        <v>0.64100000000000001</v>
      </c>
    </row>
    <row r="63" spans="1:10" x14ac:dyDescent="0.35">
      <c r="A63" t="s">
        <v>171</v>
      </c>
      <c r="B63" t="s">
        <v>172</v>
      </c>
      <c r="C63" t="s">
        <v>63</v>
      </c>
      <c r="D63" t="s">
        <v>64</v>
      </c>
      <c r="F63" s="12">
        <v>0.5</v>
      </c>
      <c r="I63" s="12">
        <v>0.51800000000000002</v>
      </c>
      <c r="J63" s="12">
        <v>0.51629999999999998</v>
      </c>
    </row>
    <row r="64" spans="1:10" x14ac:dyDescent="0.35">
      <c r="A64" t="s">
        <v>173</v>
      </c>
      <c r="B64" t="s">
        <v>174</v>
      </c>
      <c r="C64" t="s">
        <v>63</v>
      </c>
      <c r="D64" t="s">
        <v>64</v>
      </c>
      <c r="H64" s="12">
        <v>0.41920000000000002</v>
      </c>
      <c r="J64" s="12">
        <v>0.41920000000000002</v>
      </c>
    </row>
    <row r="65" spans="1:10" x14ac:dyDescent="0.35">
      <c r="A65" t="s">
        <v>175</v>
      </c>
      <c r="B65" t="s">
        <v>176</v>
      </c>
      <c r="C65" t="s">
        <v>63</v>
      </c>
      <c r="D65" t="s">
        <v>64</v>
      </c>
      <c r="G65" s="12">
        <v>0.46389999999999998</v>
      </c>
      <c r="H65" s="12">
        <v>0.28460000000000002</v>
      </c>
      <c r="J65" s="12">
        <v>0.42599999999999999</v>
      </c>
    </row>
    <row r="66" spans="1:10" x14ac:dyDescent="0.35">
      <c r="A66" t="s">
        <v>177</v>
      </c>
      <c r="B66" t="s">
        <v>178</v>
      </c>
      <c r="C66" t="s">
        <v>63</v>
      </c>
      <c r="D66" t="s">
        <v>64</v>
      </c>
      <c r="F66" s="12">
        <v>0.43609999999999999</v>
      </c>
      <c r="H66" s="12">
        <v>0.37040000000000001</v>
      </c>
      <c r="I66" s="12">
        <v>0.65</v>
      </c>
      <c r="J66" s="12">
        <v>0.43159999999999998</v>
      </c>
    </row>
    <row r="67" spans="1:10" x14ac:dyDescent="0.35">
      <c r="A67" t="s">
        <v>179</v>
      </c>
      <c r="B67" t="s">
        <v>180</v>
      </c>
      <c r="C67" t="s">
        <v>63</v>
      </c>
      <c r="D67" t="s">
        <v>64</v>
      </c>
      <c r="E67" s="12">
        <v>0.44040000000000001</v>
      </c>
      <c r="F67" s="12">
        <v>0.9</v>
      </c>
      <c r="G67" s="12">
        <v>0.57279999999999998</v>
      </c>
      <c r="H67" s="12">
        <v>0.23080000000000001</v>
      </c>
      <c r="I67" s="12">
        <v>0.73270000000000002</v>
      </c>
      <c r="J67" s="12">
        <v>0.46729999999999999</v>
      </c>
    </row>
    <row r="68" spans="1:10" x14ac:dyDescent="0.35">
      <c r="A68" t="s">
        <v>181</v>
      </c>
      <c r="B68" t="s">
        <v>182</v>
      </c>
      <c r="C68" t="s">
        <v>86</v>
      </c>
      <c r="D68" t="s">
        <v>64</v>
      </c>
      <c r="H68" s="12">
        <v>0.49270000000000003</v>
      </c>
      <c r="J68" s="12">
        <v>0.49270000000000003</v>
      </c>
    </row>
    <row r="69" spans="1:10" x14ac:dyDescent="0.35">
      <c r="A69" t="s">
        <v>183</v>
      </c>
      <c r="B69" t="s">
        <v>184</v>
      </c>
      <c r="C69" t="s">
        <v>86</v>
      </c>
      <c r="D69" t="s">
        <v>64</v>
      </c>
      <c r="E69" s="12">
        <v>0.59540000000000004</v>
      </c>
      <c r="G69" s="12">
        <v>0.68320000000000003</v>
      </c>
      <c r="H69" s="12">
        <v>1</v>
      </c>
      <c r="I69" s="12">
        <v>0</v>
      </c>
      <c r="J69" s="12">
        <v>0.61119999999999997</v>
      </c>
    </row>
    <row r="70" spans="1:10" x14ac:dyDescent="0.35">
      <c r="A70" t="s">
        <v>185</v>
      </c>
      <c r="B70" t="s">
        <v>186</v>
      </c>
      <c r="C70" t="s">
        <v>63</v>
      </c>
      <c r="D70" t="s">
        <v>64</v>
      </c>
      <c r="E70" s="12">
        <v>0.41120000000000001</v>
      </c>
      <c r="J70" s="12">
        <v>0.41120000000000001</v>
      </c>
    </row>
    <row r="71" spans="1:10" x14ac:dyDescent="0.35">
      <c r="A71" t="s">
        <v>187</v>
      </c>
      <c r="B71" t="s">
        <v>188</v>
      </c>
      <c r="C71" t="s">
        <v>63</v>
      </c>
      <c r="D71" t="s">
        <v>64</v>
      </c>
      <c r="E71" s="12">
        <v>0.80110000000000003</v>
      </c>
      <c r="G71" s="12">
        <v>0.66669999999999996</v>
      </c>
      <c r="J71" s="12">
        <v>0.79969999999999997</v>
      </c>
    </row>
    <row r="72" spans="1:10" x14ac:dyDescent="0.35">
      <c r="A72" t="s">
        <v>189</v>
      </c>
      <c r="B72" t="s">
        <v>190</v>
      </c>
      <c r="C72" t="s">
        <v>63</v>
      </c>
      <c r="D72" t="s">
        <v>78</v>
      </c>
      <c r="H72" s="12">
        <v>0.5222</v>
      </c>
      <c r="J72" s="12">
        <v>0.5222</v>
      </c>
    </row>
    <row r="73" spans="1:10" x14ac:dyDescent="0.35">
      <c r="A73" t="s">
        <v>191</v>
      </c>
      <c r="B73" t="s">
        <v>135</v>
      </c>
      <c r="C73" t="s">
        <v>63</v>
      </c>
      <c r="D73" t="s">
        <v>64</v>
      </c>
      <c r="F73" s="12">
        <v>0.93169999999999997</v>
      </c>
      <c r="J73" s="12">
        <v>0.93169999999999997</v>
      </c>
    </row>
    <row r="74" spans="1:10" x14ac:dyDescent="0.35">
      <c r="A74" t="s">
        <v>192</v>
      </c>
      <c r="B74" t="s">
        <v>193</v>
      </c>
      <c r="C74" t="s">
        <v>63</v>
      </c>
      <c r="D74" t="s">
        <v>78</v>
      </c>
      <c r="G74" s="12">
        <v>0.51090000000000002</v>
      </c>
      <c r="J74" s="12">
        <v>0.51090000000000002</v>
      </c>
    </row>
    <row r="75" spans="1:10" x14ac:dyDescent="0.35">
      <c r="A75" t="s">
        <v>194</v>
      </c>
      <c r="B75" t="s">
        <v>135</v>
      </c>
      <c r="C75" t="s">
        <v>63</v>
      </c>
      <c r="D75" t="s">
        <v>64</v>
      </c>
      <c r="F75" s="12">
        <v>0.76219999999999999</v>
      </c>
      <c r="I75" s="12">
        <v>0.68279999999999996</v>
      </c>
      <c r="J75" s="12">
        <v>0.72760000000000002</v>
      </c>
    </row>
    <row r="76" spans="1:10" x14ac:dyDescent="0.35">
      <c r="A76" t="s">
        <v>195</v>
      </c>
      <c r="B76" t="s">
        <v>135</v>
      </c>
      <c r="C76" t="s">
        <v>63</v>
      </c>
      <c r="D76" t="s">
        <v>64</v>
      </c>
      <c r="F76" s="12">
        <v>0.91669999999999996</v>
      </c>
      <c r="J76" s="12">
        <v>0.91669999999999996</v>
      </c>
    </row>
    <row r="77" spans="1:10" x14ac:dyDescent="0.35">
      <c r="A77" t="s">
        <v>196</v>
      </c>
      <c r="B77" t="s">
        <v>197</v>
      </c>
      <c r="C77" t="s">
        <v>63</v>
      </c>
      <c r="D77" t="s">
        <v>64</v>
      </c>
      <c r="F77" s="12">
        <v>0.2727</v>
      </c>
      <c r="I77" s="12">
        <v>0.35389999999999999</v>
      </c>
      <c r="J77" s="12">
        <v>0.35360000000000003</v>
      </c>
    </row>
    <row r="78" spans="1:10" x14ac:dyDescent="0.35">
      <c r="A78" t="s">
        <v>198</v>
      </c>
      <c r="B78" t="s">
        <v>199</v>
      </c>
      <c r="C78" t="s">
        <v>63</v>
      </c>
      <c r="D78" t="s">
        <v>64</v>
      </c>
      <c r="H78" s="12">
        <v>0.62390000000000001</v>
      </c>
      <c r="J78" s="12">
        <v>0.62390000000000001</v>
      </c>
    </row>
    <row r="79" spans="1:10" x14ac:dyDescent="0.35">
      <c r="A79" t="s">
        <v>200</v>
      </c>
      <c r="B79" t="s">
        <v>201</v>
      </c>
      <c r="C79" t="s">
        <v>63</v>
      </c>
      <c r="D79" t="s">
        <v>64</v>
      </c>
      <c r="H79" s="12">
        <v>0.70240000000000002</v>
      </c>
      <c r="J79" s="12">
        <v>0.70240000000000002</v>
      </c>
    </row>
    <row r="80" spans="1:10" x14ac:dyDescent="0.35">
      <c r="A80" t="s">
        <v>202</v>
      </c>
      <c r="B80" t="s">
        <v>203</v>
      </c>
      <c r="C80" t="s">
        <v>63</v>
      </c>
      <c r="D80" t="s">
        <v>64</v>
      </c>
      <c r="I80" s="12">
        <v>3.3099999999999997E-2</v>
      </c>
      <c r="J80" s="12">
        <v>3.3099999999999997E-2</v>
      </c>
    </row>
    <row r="81" spans="1:10" x14ac:dyDescent="0.35">
      <c r="A81" t="s">
        <v>204</v>
      </c>
      <c r="B81" t="s">
        <v>75</v>
      </c>
      <c r="C81" t="s">
        <v>86</v>
      </c>
      <c r="D81" t="s">
        <v>64</v>
      </c>
      <c r="H81" s="12">
        <v>0.63859999999999995</v>
      </c>
      <c r="J81" s="12">
        <v>0.63859999999999995</v>
      </c>
    </row>
    <row r="82" spans="1:10" x14ac:dyDescent="0.35">
      <c r="A82" t="s">
        <v>205</v>
      </c>
      <c r="B82" t="s">
        <v>77</v>
      </c>
      <c r="C82" t="s">
        <v>63</v>
      </c>
      <c r="D82" t="s">
        <v>109</v>
      </c>
      <c r="H82" s="12">
        <v>0.1193</v>
      </c>
      <c r="J82" s="12">
        <v>0.1193</v>
      </c>
    </row>
    <row r="83" spans="1:10" x14ac:dyDescent="0.35">
      <c r="A83" t="s">
        <v>206</v>
      </c>
      <c r="B83" t="s">
        <v>77</v>
      </c>
      <c r="C83" t="s">
        <v>63</v>
      </c>
      <c r="D83" t="s">
        <v>64</v>
      </c>
      <c r="H83" s="12">
        <v>0.26600000000000001</v>
      </c>
      <c r="J83" s="12">
        <v>0.26600000000000001</v>
      </c>
    </row>
    <row r="84" spans="1:10" x14ac:dyDescent="0.35">
      <c r="A84" t="s">
        <v>207</v>
      </c>
      <c r="B84" t="s">
        <v>77</v>
      </c>
      <c r="C84" t="s">
        <v>63</v>
      </c>
      <c r="D84" t="s">
        <v>64</v>
      </c>
      <c r="H84" s="12">
        <v>0.15809999999999999</v>
      </c>
      <c r="J84" s="12">
        <v>0.15809999999999999</v>
      </c>
    </row>
    <row r="85" spans="1:10" x14ac:dyDescent="0.35">
      <c r="A85" t="s">
        <v>208</v>
      </c>
      <c r="B85" t="s">
        <v>209</v>
      </c>
      <c r="C85" t="s">
        <v>63</v>
      </c>
      <c r="D85" t="s">
        <v>78</v>
      </c>
      <c r="H85" s="12">
        <v>0</v>
      </c>
      <c r="J85" s="12">
        <v>0</v>
      </c>
    </row>
    <row r="86" spans="1:10" x14ac:dyDescent="0.35">
      <c r="A86" t="s">
        <v>210</v>
      </c>
      <c r="B86" t="s">
        <v>77</v>
      </c>
      <c r="C86" t="s">
        <v>63</v>
      </c>
      <c r="D86" t="s">
        <v>64</v>
      </c>
      <c r="H86" s="12">
        <v>0.28889999999999999</v>
      </c>
      <c r="J86" s="12">
        <v>0.28889999999999999</v>
      </c>
    </row>
    <row r="87" spans="1:10" x14ac:dyDescent="0.35">
      <c r="A87" t="s">
        <v>211</v>
      </c>
      <c r="B87" t="s">
        <v>212</v>
      </c>
      <c r="C87" t="s">
        <v>63</v>
      </c>
      <c r="D87" t="s">
        <v>64</v>
      </c>
      <c r="E87" s="12">
        <v>0.34029999999999999</v>
      </c>
      <c r="I87" s="12">
        <v>0.46760000000000002</v>
      </c>
      <c r="J87" s="12">
        <v>0.40939999999999999</v>
      </c>
    </row>
    <row r="88" spans="1:10" x14ac:dyDescent="0.35">
      <c r="A88" t="s">
        <v>213</v>
      </c>
      <c r="B88" t="s">
        <v>214</v>
      </c>
      <c r="C88" t="s">
        <v>63</v>
      </c>
      <c r="D88" t="s">
        <v>64</v>
      </c>
      <c r="E88" s="12">
        <v>0.55620000000000003</v>
      </c>
      <c r="J88" s="12">
        <v>0.55620000000000003</v>
      </c>
    </row>
    <row r="89" spans="1:10" x14ac:dyDescent="0.35">
      <c r="A89" t="s">
        <v>215</v>
      </c>
      <c r="B89" t="s">
        <v>216</v>
      </c>
      <c r="C89" t="s">
        <v>63</v>
      </c>
      <c r="D89" t="s">
        <v>64</v>
      </c>
      <c r="F89" s="12">
        <v>0.46139999999999998</v>
      </c>
      <c r="J89" s="12">
        <v>0.46139999999999998</v>
      </c>
    </row>
    <row r="90" spans="1:10" x14ac:dyDescent="0.35">
      <c r="A90" t="s">
        <v>217</v>
      </c>
      <c r="B90" t="s">
        <v>216</v>
      </c>
      <c r="C90" t="s">
        <v>63</v>
      </c>
      <c r="D90" t="s">
        <v>64</v>
      </c>
      <c r="F90" s="12">
        <v>0.56179999999999997</v>
      </c>
      <c r="I90" s="12">
        <v>0.51449999999999996</v>
      </c>
      <c r="J90" s="12">
        <v>0.53129999999999999</v>
      </c>
    </row>
    <row r="91" spans="1:10" x14ac:dyDescent="0.35">
      <c r="A91" t="s">
        <v>218</v>
      </c>
      <c r="B91" t="s">
        <v>219</v>
      </c>
      <c r="C91" t="s">
        <v>63</v>
      </c>
      <c r="D91" t="s">
        <v>64</v>
      </c>
      <c r="H91" s="12">
        <v>0.42359999999999998</v>
      </c>
      <c r="J91" s="12">
        <v>0.42359999999999998</v>
      </c>
    </row>
    <row r="92" spans="1:10" x14ac:dyDescent="0.35">
      <c r="A92" t="s">
        <v>220</v>
      </c>
      <c r="B92" t="s">
        <v>91</v>
      </c>
      <c r="C92" t="s">
        <v>63</v>
      </c>
      <c r="D92" t="s">
        <v>64</v>
      </c>
      <c r="H92" s="12">
        <v>0</v>
      </c>
      <c r="J92" s="12">
        <v>0</v>
      </c>
    </row>
    <row r="93" spans="1:10" x14ac:dyDescent="0.35">
      <c r="A93" t="s">
        <v>221</v>
      </c>
      <c r="B93" t="s">
        <v>222</v>
      </c>
      <c r="C93" t="s">
        <v>63</v>
      </c>
      <c r="D93" t="s">
        <v>64</v>
      </c>
      <c r="F93" s="12">
        <v>0.42859999999999998</v>
      </c>
      <c r="H93" s="12">
        <v>0.30559999999999998</v>
      </c>
      <c r="I93" s="12">
        <v>0.38540000000000002</v>
      </c>
      <c r="J93" s="12">
        <v>0.38190000000000002</v>
      </c>
    </row>
    <row r="94" spans="1:10" x14ac:dyDescent="0.35">
      <c r="A94" t="s">
        <v>223</v>
      </c>
      <c r="B94" t="s">
        <v>224</v>
      </c>
      <c r="C94" t="s">
        <v>63</v>
      </c>
      <c r="D94" t="s">
        <v>64</v>
      </c>
      <c r="H94" s="12">
        <v>0.56110000000000004</v>
      </c>
      <c r="J94" s="12">
        <v>0.56110000000000004</v>
      </c>
    </row>
    <row r="95" spans="1:10" x14ac:dyDescent="0.35">
      <c r="A95" t="s">
        <v>225</v>
      </c>
      <c r="B95" t="s">
        <v>77</v>
      </c>
      <c r="C95" t="s">
        <v>63</v>
      </c>
      <c r="D95" t="s">
        <v>64</v>
      </c>
      <c r="I95" s="12">
        <v>0.53849999999999998</v>
      </c>
      <c r="J95" s="12">
        <v>0.53849999999999998</v>
      </c>
    </row>
    <row r="96" spans="1:10" x14ac:dyDescent="0.35">
      <c r="A96" t="s">
        <v>226</v>
      </c>
      <c r="B96" t="s">
        <v>135</v>
      </c>
      <c r="C96" t="s">
        <v>63</v>
      </c>
      <c r="D96" t="s">
        <v>64</v>
      </c>
      <c r="F96" s="12">
        <v>0.56520000000000004</v>
      </c>
      <c r="I96" s="12">
        <v>0.49909999999999999</v>
      </c>
      <c r="J96" s="12">
        <v>0.50409999999999999</v>
      </c>
    </row>
    <row r="97" spans="1:10" x14ac:dyDescent="0.35">
      <c r="A97" t="s">
        <v>227</v>
      </c>
      <c r="B97" t="s">
        <v>228</v>
      </c>
      <c r="C97" t="s">
        <v>63</v>
      </c>
      <c r="D97" t="s">
        <v>64</v>
      </c>
      <c r="F97" s="12">
        <v>0.55920000000000003</v>
      </c>
      <c r="I97" s="12">
        <v>0.4375</v>
      </c>
      <c r="J97" s="12">
        <v>0.47349999999999998</v>
      </c>
    </row>
    <row r="98" spans="1:10" x14ac:dyDescent="0.35">
      <c r="A98" t="s">
        <v>229</v>
      </c>
      <c r="B98" t="s">
        <v>230</v>
      </c>
      <c r="C98" t="s">
        <v>86</v>
      </c>
      <c r="D98" t="s">
        <v>64</v>
      </c>
      <c r="H98" s="12">
        <v>0.52039999999999997</v>
      </c>
      <c r="J98" s="12">
        <v>0.52039999999999997</v>
      </c>
    </row>
    <row r="99" spans="1:10" x14ac:dyDescent="0.35">
      <c r="A99" t="s">
        <v>231</v>
      </c>
      <c r="B99" t="s">
        <v>135</v>
      </c>
      <c r="C99" t="s">
        <v>63</v>
      </c>
      <c r="D99" t="s">
        <v>64</v>
      </c>
      <c r="I99" s="12">
        <v>0.8619</v>
      </c>
      <c r="J99" s="12">
        <v>0.8619</v>
      </c>
    </row>
    <row r="100" spans="1:10" x14ac:dyDescent="0.35">
      <c r="A100" t="s">
        <v>232</v>
      </c>
      <c r="B100" t="s">
        <v>233</v>
      </c>
      <c r="C100" t="s">
        <v>63</v>
      </c>
      <c r="D100" t="s">
        <v>64</v>
      </c>
      <c r="H100" s="12">
        <v>0.51090000000000002</v>
      </c>
      <c r="J100" s="12">
        <v>0.51090000000000002</v>
      </c>
    </row>
    <row r="101" spans="1:10" x14ac:dyDescent="0.35">
      <c r="A101" t="s">
        <v>234</v>
      </c>
      <c r="B101" t="s">
        <v>93</v>
      </c>
      <c r="C101" t="s">
        <v>63</v>
      </c>
      <c r="D101" t="s">
        <v>64</v>
      </c>
      <c r="H101" s="12">
        <v>0.47310000000000002</v>
      </c>
      <c r="J101" s="12">
        <v>0.47310000000000002</v>
      </c>
    </row>
    <row r="102" spans="1:10" x14ac:dyDescent="0.35">
      <c r="A102" t="s">
        <v>235</v>
      </c>
      <c r="B102" t="s">
        <v>236</v>
      </c>
      <c r="C102" t="s">
        <v>63</v>
      </c>
      <c r="D102" t="s">
        <v>237</v>
      </c>
      <c r="E102" s="12">
        <v>0.34849999999999998</v>
      </c>
      <c r="J102" s="12">
        <v>0.34849999999999998</v>
      </c>
    </row>
    <row r="103" spans="1:10" x14ac:dyDescent="0.35">
      <c r="A103" t="s">
        <v>238</v>
      </c>
      <c r="B103" t="s">
        <v>77</v>
      </c>
      <c r="C103" t="s">
        <v>63</v>
      </c>
      <c r="D103" t="s">
        <v>64</v>
      </c>
      <c r="H103" s="12">
        <v>0.25719999999999998</v>
      </c>
      <c r="J103" s="12">
        <v>0.25719999999999998</v>
      </c>
    </row>
    <row r="104" spans="1:10" x14ac:dyDescent="0.35">
      <c r="A104" t="s">
        <v>239</v>
      </c>
      <c r="B104" t="s">
        <v>240</v>
      </c>
      <c r="C104" t="s">
        <v>63</v>
      </c>
      <c r="D104" t="s">
        <v>64</v>
      </c>
      <c r="H104" s="12">
        <v>0.17199999999999999</v>
      </c>
      <c r="J104" s="12">
        <v>0.17199999999999999</v>
      </c>
    </row>
    <row r="105" spans="1:10" x14ac:dyDescent="0.35">
      <c r="A105" t="s">
        <v>241</v>
      </c>
      <c r="B105" t="s">
        <v>242</v>
      </c>
      <c r="C105" t="s">
        <v>63</v>
      </c>
      <c r="D105" t="s">
        <v>64</v>
      </c>
      <c r="H105" s="12">
        <v>0.43680000000000002</v>
      </c>
      <c r="J105" s="12">
        <v>0.43680000000000002</v>
      </c>
    </row>
    <row r="106" spans="1:10" x14ac:dyDescent="0.35">
      <c r="A106" t="s">
        <v>243</v>
      </c>
      <c r="B106" t="s">
        <v>244</v>
      </c>
      <c r="C106" t="s">
        <v>63</v>
      </c>
      <c r="D106" t="s">
        <v>64</v>
      </c>
      <c r="E106" s="12">
        <v>0.58140000000000003</v>
      </c>
      <c r="F106" s="12">
        <v>0.56920000000000004</v>
      </c>
      <c r="G106" s="12">
        <v>0.63019999999999998</v>
      </c>
      <c r="H106" s="12">
        <v>0.55330000000000001</v>
      </c>
      <c r="I106" s="12">
        <v>0.63090000000000002</v>
      </c>
      <c r="J106" s="12">
        <v>0.58489999999999998</v>
      </c>
    </row>
    <row r="107" spans="1:10" x14ac:dyDescent="0.35">
      <c r="A107" t="s">
        <v>245</v>
      </c>
      <c r="B107" t="s">
        <v>68</v>
      </c>
      <c r="C107" t="s">
        <v>63</v>
      </c>
      <c r="D107" t="s">
        <v>64</v>
      </c>
      <c r="H107" s="12">
        <v>0.46829999999999999</v>
      </c>
      <c r="J107" s="12">
        <v>0.46829999999999999</v>
      </c>
    </row>
    <row r="108" spans="1:10" x14ac:dyDescent="0.35">
      <c r="A108" t="s">
        <v>246</v>
      </c>
      <c r="B108" t="s">
        <v>247</v>
      </c>
      <c r="C108" t="s">
        <v>63</v>
      </c>
      <c r="D108" t="s">
        <v>64</v>
      </c>
      <c r="E108" s="12">
        <v>0.42870000000000003</v>
      </c>
      <c r="J108" s="12">
        <v>0.42870000000000003</v>
      </c>
    </row>
    <row r="109" spans="1:10" x14ac:dyDescent="0.35">
      <c r="A109" t="s">
        <v>248</v>
      </c>
      <c r="B109" t="s">
        <v>68</v>
      </c>
      <c r="C109" t="s">
        <v>63</v>
      </c>
      <c r="D109" t="s">
        <v>64</v>
      </c>
      <c r="H109" s="12">
        <v>0.40250000000000002</v>
      </c>
      <c r="J109" s="12">
        <v>0.40250000000000002</v>
      </c>
    </row>
    <row r="110" spans="1:10" x14ac:dyDescent="0.35">
      <c r="A110" t="s">
        <v>249</v>
      </c>
      <c r="B110" t="s">
        <v>250</v>
      </c>
      <c r="C110" t="s">
        <v>63</v>
      </c>
      <c r="D110" t="s">
        <v>64</v>
      </c>
      <c r="H110" s="12">
        <v>0.56459999999999999</v>
      </c>
      <c r="J110" s="12">
        <v>0.56459999999999999</v>
      </c>
    </row>
    <row r="111" spans="1:10" x14ac:dyDescent="0.35">
      <c r="A111" t="s">
        <v>251</v>
      </c>
      <c r="B111" t="s">
        <v>129</v>
      </c>
      <c r="C111" t="s">
        <v>63</v>
      </c>
      <c r="D111" t="s">
        <v>64</v>
      </c>
      <c r="H111" s="12">
        <v>0.74099999999999999</v>
      </c>
      <c r="J111" s="12">
        <v>0.74099999999999999</v>
      </c>
    </row>
    <row r="112" spans="1:10" x14ac:dyDescent="0.35">
      <c r="A112" t="s">
        <v>252</v>
      </c>
      <c r="B112" t="s">
        <v>77</v>
      </c>
      <c r="C112" t="s">
        <v>63</v>
      </c>
      <c r="D112" t="s">
        <v>64</v>
      </c>
      <c r="I112" s="12">
        <v>0.107</v>
      </c>
      <c r="J112" s="12">
        <v>0.107</v>
      </c>
    </row>
    <row r="113" spans="1:10" x14ac:dyDescent="0.35">
      <c r="A113" t="s">
        <v>253</v>
      </c>
      <c r="B113" t="s">
        <v>254</v>
      </c>
      <c r="C113" t="s">
        <v>63</v>
      </c>
      <c r="D113" t="s">
        <v>64</v>
      </c>
      <c r="F113" s="12">
        <v>0.53710000000000002</v>
      </c>
      <c r="I113" s="12">
        <v>0.47939999999999999</v>
      </c>
      <c r="J113" s="12">
        <v>0.48459999999999998</v>
      </c>
    </row>
    <row r="114" spans="1:10" x14ac:dyDescent="0.35">
      <c r="A114" t="s">
        <v>255</v>
      </c>
      <c r="B114" t="s">
        <v>256</v>
      </c>
      <c r="C114" t="s">
        <v>63</v>
      </c>
      <c r="D114" t="s">
        <v>64</v>
      </c>
      <c r="E114" s="12">
        <v>0.47539999999999999</v>
      </c>
      <c r="J114" s="12">
        <v>0.47539999999999999</v>
      </c>
    </row>
    <row r="115" spans="1:10" x14ac:dyDescent="0.35">
      <c r="A115" t="s">
        <v>257</v>
      </c>
      <c r="B115" t="s">
        <v>256</v>
      </c>
      <c r="C115" t="s">
        <v>63</v>
      </c>
      <c r="D115" t="s">
        <v>64</v>
      </c>
      <c r="F115" s="12">
        <v>0.70860000000000001</v>
      </c>
      <c r="I115" s="12">
        <v>0.57310000000000005</v>
      </c>
      <c r="J115" s="12">
        <v>0.60660000000000003</v>
      </c>
    </row>
    <row r="116" spans="1:10" x14ac:dyDescent="0.35">
      <c r="A116" t="s">
        <v>258</v>
      </c>
      <c r="B116" t="s">
        <v>259</v>
      </c>
      <c r="C116" t="s">
        <v>63</v>
      </c>
      <c r="D116" t="s">
        <v>64</v>
      </c>
      <c r="F116" s="12">
        <v>0.68310000000000004</v>
      </c>
      <c r="J116" s="12">
        <v>0.68310000000000004</v>
      </c>
    </row>
    <row r="117" spans="1:10" x14ac:dyDescent="0.35">
      <c r="A117" t="s">
        <v>260</v>
      </c>
      <c r="B117" t="s">
        <v>77</v>
      </c>
      <c r="C117" t="s">
        <v>63</v>
      </c>
      <c r="D117" t="s">
        <v>64</v>
      </c>
      <c r="G117" s="12">
        <v>0.29320000000000002</v>
      </c>
      <c r="J117" s="12">
        <v>0.29320000000000002</v>
      </c>
    </row>
    <row r="118" spans="1:10" x14ac:dyDescent="0.35">
      <c r="A118" t="s">
        <v>261</v>
      </c>
      <c r="B118" t="s">
        <v>77</v>
      </c>
      <c r="C118" t="s">
        <v>63</v>
      </c>
      <c r="D118" t="s">
        <v>64</v>
      </c>
      <c r="E118" s="12">
        <v>0.29270000000000002</v>
      </c>
      <c r="J118" s="12">
        <v>0.29270000000000002</v>
      </c>
    </row>
    <row r="119" spans="1:10" x14ac:dyDescent="0.35">
      <c r="A119" t="s">
        <v>262</v>
      </c>
      <c r="B119" t="s">
        <v>263</v>
      </c>
      <c r="C119" t="s">
        <v>63</v>
      </c>
      <c r="D119" t="s">
        <v>64</v>
      </c>
      <c r="H119" s="12">
        <v>0.76190000000000002</v>
      </c>
      <c r="J119" s="12">
        <v>0.76190000000000002</v>
      </c>
    </row>
    <row r="120" spans="1:10" x14ac:dyDescent="0.35">
      <c r="A120" t="s">
        <v>264</v>
      </c>
      <c r="B120" t="s">
        <v>265</v>
      </c>
      <c r="C120" t="s">
        <v>63</v>
      </c>
      <c r="D120" t="s">
        <v>64</v>
      </c>
      <c r="E120" s="12">
        <v>0.71709999999999996</v>
      </c>
      <c r="G120" s="12">
        <v>0.60319999999999996</v>
      </c>
      <c r="J120" s="12">
        <v>0.67800000000000005</v>
      </c>
    </row>
    <row r="121" spans="1:10" x14ac:dyDescent="0.35">
      <c r="A121" t="s">
        <v>266</v>
      </c>
      <c r="B121" t="s">
        <v>267</v>
      </c>
      <c r="C121" t="s">
        <v>63</v>
      </c>
      <c r="D121" t="s">
        <v>64</v>
      </c>
      <c r="F121" s="12">
        <v>0.75309999999999999</v>
      </c>
      <c r="H121" s="12">
        <v>0.39250000000000002</v>
      </c>
      <c r="J121" s="12">
        <v>0.51470000000000005</v>
      </c>
    </row>
    <row r="122" spans="1:10" x14ac:dyDescent="0.35">
      <c r="A122" t="s">
        <v>268</v>
      </c>
      <c r="B122" t="s">
        <v>77</v>
      </c>
      <c r="C122" t="s">
        <v>63</v>
      </c>
      <c r="D122" t="s">
        <v>64</v>
      </c>
      <c r="H122" s="12">
        <v>0.32890000000000003</v>
      </c>
      <c r="J122" s="12">
        <v>0.32890000000000003</v>
      </c>
    </row>
    <row r="123" spans="1:10" x14ac:dyDescent="0.35">
      <c r="A123" t="s">
        <v>269</v>
      </c>
      <c r="B123" t="s">
        <v>270</v>
      </c>
      <c r="C123" t="s">
        <v>63</v>
      </c>
      <c r="D123" t="s">
        <v>64</v>
      </c>
      <c r="J123" s="12" t="e">
        <v>#N/A</v>
      </c>
    </row>
    <row r="124" spans="1:10" x14ac:dyDescent="0.35">
      <c r="A124" t="s">
        <v>271</v>
      </c>
      <c r="B124" t="s">
        <v>272</v>
      </c>
      <c r="C124" t="s">
        <v>63</v>
      </c>
      <c r="D124" t="s">
        <v>64</v>
      </c>
      <c r="F124" s="12">
        <v>0.83330000000000004</v>
      </c>
      <c r="H124" s="12">
        <v>0.58150000000000002</v>
      </c>
      <c r="I124" s="12">
        <v>0.83140000000000003</v>
      </c>
      <c r="J124" s="12">
        <v>0.66269999999999996</v>
      </c>
    </row>
    <row r="125" spans="1:10" x14ac:dyDescent="0.35">
      <c r="A125" t="s">
        <v>273</v>
      </c>
      <c r="B125" t="s">
        <v>93</v>
      </c>
      <c r="C125" t="s">
        <v>63</v>
      </c>
      <c r="D125" t="s">
        <v>64</v>
      </c>
      <c r="H125" s="12">
        <v>0.55859999999999999</v>
      </c>
      <c r="J125" s="12">
        <v>0.55859999999999999</v>
      </c>
    </row>
    <row r="126" spans="1:10" x14ac:dyDescent="0.35">
      <c r="A126" t="s">
        <v>274</v>
      </c>
      <c r="B126" t="s">
        <v>135</v>
      </c>
      <c r="C126" t="s">
        <v>63</v>
      </c>
      <c r="D126" t="s">
        <v>64</v>
      </c>
      <c r="H126" s="12">
        <v>0.78239999999999998</v>
      </c>
      <c r="J126" s="12">
        <v>0.78239999999999998</v>
      </c>
    </row>
    <row r="127" spans="1:10" x14ac:dyDescent="0.35">
      <c r="A127" t="s">
        <v>275</v>
      </c>
      <c r="B127" t="s">
        <v>135</v>
      </c>
      <c r="C127" t="s">
        <v>63</v>
      </c>
      <c r="D127" t="s">
        <v>64</v>
      </c>
      <c r="E127" s="12">
        <v>0.68789999999999996</v>
      </c>
      <c r="F127" s="12">
        <v>0.36959999999999998</v>
      </c>
      <c r="G127" s="12">
        <v>0.63290000000000002</v>
      </c>
      <c r="H127" s="12">
        <v>0.17699999999999999</v>
      </c>
      <c r="I127" s="12">
        <v>0.5806</v>
      </c>
      <c r="J127" s="12">
        <v>0.68430000000000002</v>
      </c>
    </row>
    <row r="128" spans="1:10" x14ac:dyDescent="0.35">
      <c r="A128" t="s">
        <v>276</v>
      </c>
      <c r="B128" t="s">
        <v>77</v>
      </c>
      <c r="C128" t="s">
        <v>63</v>
      </c>
      <c r="D128" t="s">
        <v>64</v>
      </c>
      <c r="G128" s="12">
        <v>0.64129999999999998</v>
      </c>
      <c r="H128" s="12">
        <v>0.58699999999999997</v>
      </c>
      <c r="J128" s="12">
        <v>0.63749999999999996</v>
      </c>
    </row>
    <row r="129" spans="1:10" x14ac:dyDescent="0.35">
      <c r="A129" t="s">
        <v>277</v>
      </c>
      <c r="B129" t="s">
        <v>278</v>
      </c>
      <c r="C129" t="s">
        <v>63</v>
      </c>
      <c r="D129" t="s">
        <v>64</v>
      </c>
      <c r="I129" s="12">
        <v>0.48399999999999999</v>
      </c>
      <c r="J129" s="12">
        <v>0.48399999999999999</v>
      </c>
    </row>
    <row r="130" spans="1:10" x14ac:dyDescent="0.35">
      <c r="A130" t="s">
        <v>279</v>
      </c>
      <c r="B130" t="s">
        <v>77</v>
      </c>
      <c r="C130" t="s">
        <v>63</v>
      </c>
      <c r="D130" t="s">
        <v>78</v>
      </c>
      <c r="H130" s="12">
        <v>0.7198</v>
      </c>
      <c r="J130" s="12">
        <v>0.7198</v>
      </c>
    </row>
    <row r="131" spans="1:10" x14ac:dyDescent="0.35">
      <c r="A131" t="s">
        <v>280</v>
      </c>
      <c r="B131" t="s">
        <v>244</v>
      </c>
      <c r="C131" t="s">
        <v>63</v>
      </c>
      <c r="D131" t="s">
        <v>64</v>
      </c>
      <c r="E131" s="12">
        <v>0.68420000000000003</v>
      </c>
      <c r="H131" s="12">
        <v>0.67</v>
      </c>
      <c r="J131" s="12">
        <v>0.68389999999999995</v>
      </c>
    </row>
    <row r="132" spans="1:10" x14ac:dyDescent="0.35">
      <c r="A132" t="s">
        <v>281</v>
      </c>
      <c r="B132" t="s">
        <v>77</v>
      </c>
      <c r="C132" t="s">
        <v>86</v>
      </c>
      <c r="D132" t="s">
        <v>64</v>
      </c>
      <c r="H132" s="12">
        <v>0.56769999999999998</v>
      </c>
      <c r="J132" s="12">
        <v>0.56769999999999998</v>
      </c>
    </row>
    <row r="133" spans="1:10" x14ac:dyDescent="0.35">
      <c r="A133" t="s">
        <v>282</v>
      </c>
      <c r="B133" t="s">
        <v>135</v>
      </c>
      <c r="C133" t="s">
        <v>63</v>
      </c>
      <c r="D133" t="s">
        <v>64</v>
      </c>
      <c r="E133" s="12">
        <v>0.54039999999999999</v>
      </c>
      <c r="H133" s="12">
        <v>9.0899999999999995E-2</v>
      </c>
      <c r="J133" s="12">
        <v>0.53920000000000001</v>
      </c>
    </row>
    <row r="134" spans="1:10" x14ac:dyDescent="0.35">
      <c r="A134" t="s">
        <v>283</v>
      </c>
      <c r="B134" t="s">
        <v>284</v>
      </c>
      <c r="C134" t="s">
        <v>63</v>
      </c>
      <c r="D134" t="s">
        <v>64</v>
      </c>
      <c r="H134" s="12">
        <v>0.56950000000000001</v>
      </c>
      <c r="J134" s="12">
        <v>0.56950000000000001</v>
      </c>
    </row>
    <row r="135" spans="1:10" x14ac:dyDescent="0.35">
      <c r="A135" t="s">
        <v>285</v>
      </c>
      <c r="B135" t="s">
        <v>77</v>
      </c>
      <c r="C135" t="s">
        <v>63</v>
      </c>
      <c r="D135" t="s">
        <v>64</v>
      </c>
      <c r="E135" s="12">
        <v>0.50819999999999999</v>
      </c>
      <c r="G135" s="12">
        <v>0.75170000000000003</v>
      </c>
      <c r="J135" s="12">
        <v>0.51129999999999998</v>
      </c>
    </row>
    <row r="136" spans="1:10" x14ac:dyDescent="0.35">
      <c r="A136" t="s">
        <v>286</v>
      </c>
      <c r="B136" t="s">
        <v>287</v>
      </c>
      <c r="C136" t="s">
        <v>63</v>
      </c>
      <c r="D136" t="s">
        <v>64</v>
      </c>
      <c r="H136" s="12">
        <v>0.50449999999999995</v>
      </c>
      <c r="J136" s="12">
        <v>0.50449999999999995</v>
      </c>
    </row>
    <row r="137" spans="1:10" x14ac:dyDescent="0.35">
      <c r="A137" t="s">
        <v>288</v>
      </c>
      <c r="B137" t="s">
        <v>289</v>
      </c>
      <c r="C137" t="s">
        <v>63</v>
      </c>
      <c r="D137" t="s">
        <v>78</v>
      </c>
      <c r="E137" s="12">
        <v>0.2994</v>
      </c>
      <c r="F137" s="12">
        <v>0.28260000000000002</v>
      </c>
      <c r="H137" s="12">
        <v>0.68420000000000003</v>
      </c>
      <c r="I137" s="12">
        <v>0.44550000000000001</v>
      </c>
      <c r="J137" s="12">
        <v>0.30020000000000002</v>
      </c>
    </row>
    <row r="138" spans="1:10" x14ac:dyDescent="0.35">
      <c r="A138" t="s">
        <v>290</v>
      </c>
      <c r="B138" t="s">
        <v>91</v>
      </c>
      <c r="C138" t="s">
        <v>63</v>
      </c>
      <c r="D138" t="s">
        <v>64</v>
      </c>
      <c r="H138" s="12">
        <v>0</v>
      </c>
      <c r="J138" s="12">
        <v>0</v>
      </c>
    </row>
    <row r="139" spans="1:10" x14ac:dyDescent="0.35">
      <c r="A139" t="s">
        <v>291</v>
      </c>
      <c r="B139" t="s">
        <v>199</v>
      </c>
      <c r="C139" t="s">
        <v>63</v>
      </c>
      <c r="D139" t="s">
        <v>64</v>
      </c>
      <c r="H139" s="12">
        <v>0.1082</v>
      </c>
      <c r="J139" s="12">
        <v>0.1082</v>
      </c>
    </row>
    <row r="140" spans="1:10" x14ac:dyDescent="0.35">
      <c r="A140" t="s">
        <v>292</v>
      </c>
      <c r="B140" t="s">
        <v>77</v>
      </c>
      <c r="C140" t="s">
        <v>63</v>
      </c>
      <c r="D140" t="s">
        <v>78</v>
      </c>
      <c r="H140" s="12">
        <v>0.43909999999999999</v>
      </c>
      <c r="J140" s="12">
        <v>0.43909999999999999</v>
      </c>
    </row>
    <row r="141" spans="1:10" x14ac:dyDescent="0.35">
      <c r="A141" t="s">
        <v>293</v>
      </c>
      <c r="B141" t="s">
        <v>180</v>
      </c>
      <c r="C141" t="s">
        <v>63</v>
      </c>
      <c r="D141" t="s">
        <v>64</v>
      </c>
      <c r="E141" s="12">
        <v>0.57330000000000003</v>
      </c>
      <c r="F141" s="12">
        <v>0.6</v>
      </c>
      <c r="G141" s="12">
        <v>0.55010000000000003</v>
      </c>
      <c r="H141" s="12">
        <v>8.6400000000000005E-2</v>
      </c>
      <c r="I141" s="12">
        <v>0.74109999999999998</v>
      </c>
      <c r="J141" s="12">
        <v>0.57210000000000005</v>
      </c>
    </row>
    <row r="142" spans="1:10" x14ac:dyDescent="0.35">
      <c r="A142" t="s">
        <v>294</v>
      </c>
      <c r="B142" t="s">
        <v>170</v>
      </c>
      <c r="C142" t="s">
        <v>63</v>
      </c>
      <c r="D142" t="s">
        <v>78</v>
      </c>
      <c r="E142" s="12">
        <v>0.52410000000000001</v>
      </c>
      <c r="G142" s="12">
        <v>0.5242</v>
      </c>
      <c r="H142" s="12">
        <v>0.35</v>
      </c>
      <c r="I142" s="12">
        <v>0.61219999999999997</v>
      </c>
      <c r="J142" s="12">
        <v>0.52380000000000004</v>
      </c>
    </row>
    <row r="143" spans="1:10" x14ac:dyDescent="0.35">
      <c r="A143" t="s">
        <v>295</v>
      </c>
      <c r="B143" t="s">
        <v>77</v>
      </c>
      <c r="C143" t="s">
        <v>63</v>
      </c>
      <c r="D143" t="s">
        <v>64</v>
      </c>
      <c r="E143" s="12">
        <v>0.61650000000000005</v>
      </c>
      <c r="G143" s="12">
        <v>0.36070000000000002</v>
      </c>
      <c r="I143" s="12">
        <v>0.83330000000000004</v>
      </c>
      <c r="J143" s="12">
        <v>0.53800000000000003</v>
      </c>
    </row>
    <row r="144" spans="1:10" x14ac:dyDescent="0.35">
      <c r="A144" t="s">
        <v>296</v>
      </c>
      <c r="B144" t="s">
        <v>297</v>
      </c>
      <c r="C144" t="s">
        <v>63</v>
      </c>
      <c r="D144" t="s">
        <v>64</v>
      </c>
      <c r="E144" s="12">
        <v>0.3594</v>
      </c>
      <c r="G144" s="12">
        <v>0.44190000000000002</v>
      </c>
      <c r="J144" s="12">
        <v>0.36430000000000001</v>
      </c>
    </row>
    <row r="145" spans="1:10" x14ac:dyDescent="0.35">
      <c r="A145" t="s">
        <v>298</v>
      </c>
      <c r="B145" t="s">
        <v>299</v>
      </c>
      <c r="C145" t="s">
        <v>63</v>
      </c>
      <c r="D145" t="s">
        <v>78</v>
      </c>
      <c r="F145" s="12">
        <v>0.84740000000000004</v>
      </c>
      <c r="I145" s="12">
        <v>0.82379999999999998</v>
      </c>
      <c r="J145" s="12">
        <v>0.83279999999999998</v>
      </c>
    </row>
    <row r="146" spans="1:10" x14ac:dyDescent="0.35">
      <c r="A146" t="s">
        <v>300</v>
      </c>
      <c r="B146" t="s">
        <v>77</v>
      </c>
      <c r="C146" t="s">
        <v>63</v>
      </c>
      <c r="D146" t="s">
        <v>64</v>
      </c>
      <c r="H146" s="12">
        <v>0.20200000000000001</v>
      </c>
      <c r="J146" s="12">
        <v>0.20200000000000001</v>
      </c>
    </row>
    <row r="147" spans="1:10" x14ac:dyDescent="0.35">
      <c r="A147" t="s">
        <v>301</v>
      </c>
      <c r="B147" t="s">
        <v>77</v>
      </c>
      <c r="C147" t="s">
        <v>63</v>
      </c>
      <c r="D147" t="s">
        <v>64</v>
      </c>
      <c r="H147" s="12">
        <v>0.29020000000000001</v>
      </c>
      <c r="J147" s="12">
        <v>0.29020000000000001</v>
      </c>
    </row>
    <row r="148" spans="1:10" x14ac:dyDescent="0.35">
      <c r="A148" t="s">
        <v>302</v>
      </c>
      <c r="B148" t="s">
        <v>303</v>
      </c>
      <c r="C148" t="s">
        <v>63</v>
      </c>
      <c r="D148" t="s">
        <v>64</v>
      </c>
      <c r="E148" s="12">
        <v>0.67969999999999997</v>
      </c>
      <c r="G148" s="12">
        <v>0.49170000000000003</v>
      </c>
      <c r="J148" s="12">
        <v>0.60019999999999996</v>
      </c>
    </row>
    <row r="149" spans="1:10" x14ac:dyDescent="0.35">
      <c r="A149" t="s">
        <v>304</v>
      </c>
      <c r="B149" t="s">
        <v>305</v>
      </c>
      <c r="C149" t="s">
        <v>63</v>
      </c>
      <c r="D149" t="s">
        <v>64</v>
      </c>
      <c r="H149" s="12">
        <v>0.75590000000000002</v>
      </c>
      <c r="J149" s="12">
        <v>0.75590000000000002</v>
      </c>
    </row>
    <row r="150" spans="1:10" x14ac:dyDescent="0.35">
      <c r="A150" t="s">
        <v>306</v>
      </c>
      <c r="B150" t="s">
        <v>307</v>
      </c>
      <c r="C150" t="s">
        <v>86</v>
      </c>
      <c r="D150" t="s">
        <v>78</v>
      </c>
      <c r="E150" s="12">
        <v>0.53359999999999996</v>
      </c>
      <c r="G150" s="12">
        <v>0.54620000000000002</v>
      </c>
      <c r="J150" s="12">
        <v>0.53669999999999995</v>
      </c>
    </row>
    <row r="151" spans="1:10" x14ac:dyDescent="0.35">
      <c r="A151" t="s">
        <v>308</v>
      </c>
      <c r="B151" t="s">
        <v>309</v>
      </c>
      <c r="C151" t="s">
        <v>63</v>
      </c>
      <c r="D151" t="s">
        <v>78</v>
      </c>
      <c r="F151" s="12">
        <v>0.50019999999999998</v>
      </c>
      <c r="J151" s="12">
        <v>0.50019999999999998</v>
      </c>
    </row>
    <row r="152" spans="1:10" x14ac:dyDescent="0.35">
      <c r="A152" t="s">
        <v>310</v>
      </c>
      <c r="B152" t="s">
        <v>311</v>
      </c>
      <c r="C152" t="s">
        <v>63</v>
      </c>
      <c r="D152" t="s">
        <v>64</v>
      </c>
      <c r="G152" s="12">
        <v>0.4234</v>
      </c>
      <c r="J152" s="12">
        <v>0.4234</v>
      </c>
    </row>
    <row r="153" spans="1:10" x14ac:dyDescent="0.35">
      <c r="A153" t="s">
        <v>312</v>
      </c>
      <c r="B153" t="s">
        <v>313</v>
      </c>
      <c r="C153" t="s">
        <v>63</v>
      </c>
      <c r="D153" t="s">
        <v>64</v>
      </c>
      <c r="F153" s="12">
        <v>0.61580000000000001</v>
      </c>
      <c r="H153" s="12">
        <v>0.54179999999999995</v>
      </c>
      <c r="I153" s="12">
        <v>0.65910000000000002</v>
      </c>
      <c r="J153" s="12">
        <v>0.59</v>
      </c>
    </row>
    <row r="154" spans="1:10" x14ac:dyDescent="0.35">
      <c r="A154" t="s">
        <v>314</v>
      </c>
      <c r="B154" t="s">
        <v>313</v>
      </c>
      <c r="C154" t="s">
        <v>63</v>
      </c>
      <c r="D154" t="s">
        <v>64</v>
      </c>
      <c r="F154" s="12">
        <v>0.78610000000000002</v>
      </c>
      <c r="G154" s="12">
        <v>0.42859999999999998</v>
      </c>
      <c r="H154" s="12">
        <v>0.73360000000000003</v>
      </c>
      <c r="I154" s="12">
        <v>0.80249999999999999</v>
      </c>
      <c r="J154" s="12">
        <v>0.7762</v>
      </c>
    </row>
    <row r="155" spans="1:10" x14ac:dyDescent="0.35">
      <c r="A155" t="s">
        <v>315</v>
      </c>
      <c r="B155" t="s">
        <v>186</v>
      </c>
      <c r="C155" t="s">
        <v>63</v>
      </c>
      <c r="D155" t="s">
        <v>64</v>
      </c>
      <c r="H155" s="12">
        <v>0.38069999999999998</v>
      </c>
      <c r="J155" s="12">
        <v>0.38069999999999998</v>
      </c>
    </row>
    <row r="156" spans="1:10" x14ac:dyDescent="0.35">
      <c r="A156" t="s">
        <v>316</v>
      </c>
      <c r="B156" t="s">
        <v>77</v>
      </c>
      <c r="C156" t="s">
        <v>63</v>
      </c>
      <c r="D156" t="s">
        <v>64</v>
      </c>
      <c r="E156" s="12">
        <v>0.5988</v>
      </c>
      <c r="G156" s="12">
        <v>0.45090000000000002</v>
      </c>
      <c r="H156" s="12">
        <v>0</v>
      </c>
      <c r="J156" s="12">
        <v>0.54400000000000004</v>
      </c>
    </row>
    <row r="157" spans="1:10" x14ac:dyDescent="0.35">
      <c r="A157" t="s">
        <v>317</v>
      </c>
      <c r="B157" t="s">
        <v>318</v>
      </c>
      <c r="C157" t="s">
        <v>63</v>
      </c>
      <c r="D157" t="s">
        <v>64</v>
      </c>
      <c r="H157" s="12">
        <v>0.40610000000000002</v>
      </c>
      <c r="J157" s="12">
        <v>0.40610000000000002</v>
      </c>
    </row>
    <row r="158" spans="1:10" x14ac:dyDescent="0.35">
      <c r="A158" t="s">
        <v>319</v>
      </c>
      <c r="B158" t="s">
        <v>77</v>
      </c>
      <c r="C158" t="s">
        <v>63</v>
      </c>
      <c r="D158" t="s">
        <v>64</v>
      </c>
      <c r="H158" s="12">
        <v>0.36799999999999999</v>
      </c>
      <c r="J158" s="12">
        <v>0.36799999999999999</v>
      </c>
    </row>
    <row r="159" spans="1:10" x14ac:dyDescent="0.35">
      <c r="A159" t="s">
        <v>320</v>
      </c>
      <c r="B159" t="s">
        <v>321</v>
      </c>
      <c r="C159" t="s">
        <v>63</v>
      </c>
      <c r="D159" t="s">
        <v>64</v>
      </c>
      <c r="F159" s="12">
        <v>0.3493</v>
      </c>
      <c r="G159" s="12">
        <v>0</v>
      </c>
      <c r="H159" s="12">
        <v>0.44440000000000002</v>
      </c>
      <c r="I159" s="12">
        <v>0.51280000000000003</v>
      </c>
      <c r="J159" s="12">
        <v>0.4194</v>
      </c>
    </row>
    <row r="160" spans="1:10" x14ac:dyDescent="0.35">
      <c r="A160" t="s">
        <v>322</v>
      </c>
      <c r="B160" t="s">
        <v>321</v>
      </c>
      <c r="C160" t="s">
        <v>63</v>
      </c>
      <c r="D160" t="s">
        <v>64</v>
      </c>
      <c r="I160" s="12">
        <v>0.69079999999999997</v>
      </c>
      <c r="J160" s="12">
        <v>0.69079999999999997</v>
      </c>
    </row>
    <row r="161" spans="1:10" x14ac:dyDescent="0.35">
      <c r="A161" t="s">
        <v>323</v>
      </c>
      <c r="B161" t="s">
        <v>321</v>
      </c>
      <c r="C161" t="s">
        <v>63</v>
      </c>
      <c r="D161" t="s">
        <v>64</v>
      </c>
      <c r="F161" s="12">
        <v>0.67559999999999998</v>
      </c>
      <c r="I161" s="12">
        <v>0.70740000000000003</v>
      </c>
      <c r="J161" s="12">
        <v>0.68149999999999999</v>
      </c>
    </row>
    <row r="162" spans="1:10" x14ac:dyDescent="0.35">
      <c r="A162" t="s">
        <v>324</v>
      </c>
      <c r="B162" t="s">
        <v>325</v>
      </c>
      <c r="C162" t="s">
        <v>86</v>
      </c>
      <c r="D162" t="s">
        <v>64</v>
      </c>
      <c r="H162" s="12">
        <v>0.26429999999999998</v>
      </c>
      <c r="J162" s="12">
        <v>0.26429999999999998</v>
      </c>
    </row>
    <row r="163" spans="1:10" x14ac:dyDescent="0.35">
      <c r="A163" t="s">
        <v>326</v>
      </c>
      <c r="B163" t="s">
        <v>180</v>
      </c>
      <c r="C163" t="s">
        <v>63</v>
      </c>
      <c r="D163" t="s">
        <v>64</v>
      </c>
      <c r="I163" s="12">
        <v>0.2399</v>
      </c>
      <c r="J163" s="12">
        <v>0.2399</v>
      </c>
    </row>
    <row r="164" spans="1:10" x14ac:dyDescent="0.35">
      <c r="A164" t="s">
        <v>327</v>
      </c>
      <c r="B164" t="s">
        <v>313</v>
      </c>
      <c r="C164" t="s">
        <v>63</v>
      </c>
      <c r="D164" t="s">
        <v>64</v>
      </c>
      <c r="F164" s="12">
        <v>0.85260000000000002</v>
      </c>
      <c r="H164" s="12">
        <v>0.88390000000000002</v>
      </c>
      <c r="I164" s="12">
        <v>0.84279999999999999</v>
      </c>
      <c r="J164" s="12">
        <v>0.86560000000000004</v>
      </c>
    </row>
    <row r="165" spans="1:10" x14ac:dyDescent="0.35">
      <c r="A165" t="s">
        <v>328</v>
      </c>
      <c r="B165" t="s">
        <v>313</v>
      </c>
      <c r="C165" t="s">
        <v>63</v>
      </c>
      <c r="D165" t="s">
        <v>64</v>
      </c>
      <c r="F165" s="12">
        <v>0.81230000000000002</v>
      </c>
      <c r="H165" s="12">
        <v>0.67730000000000001</v>
      </c>
      <c r="I165" s="12">
        <v>0.82069999999999999</v>
      </c>
      <c r="J165" s="12">
        <v>0.7964</v>
      </c>
    </row>
    <row r="166" spans="1:10" x14ac:dyDescent="0.35">
      <c r="A166" t="s">
        <v>329</v>
      </c>
      <c r="B166" t="s">
        <v>77</v>
      </c>
      <c r="C166" t="s">
        <v>63</v>
      </c>
      <c r="D166" t="s">
        <v>73</v>
      </c>
      <c r="H166" s="12">
        <v>0.4178</v>
      </c>
      <c r="J166" s="12">
        <v>0.4178</v>
      </c>
    </row>
    <row r="167" spans="1:10" x14ac:dyDescent="0.35">
      <c r="A167" t="s">
        <v>330</v>
      </c>
      <c r="B167" t="s">
        <v>77</v>
      </c>
      <c r="C167" t="s">
        <v>63</v>
      </c>
      <c r="D167" t="s">
        <v>64</v>
      </c>
      <c r="F167" s="12">
        <v>0.24959999999999999</v>
      </c>
      <c r="J167" s="12">
        <v>0.24959999999999999</v>
      </c>
    </row>
    <row r="168" spans="1:10" x14ac:dyDescent="0.35">
      <c r="A168" t="s">
        <v>331</v>
      </c>
      <c r="B168" t="s">
        <v>332</v>
      </c>
      <c r="C168" t="s">
        <v>63</v>
      </c>
      <c r="D168" t="s">
        <v>64</v>
      </c>
      <c r="F168" s="12">
        <v>0.67359999999999998</v>
      </c>
      <c r="H168" s="12">
        <v>0.51380000000000003</v>
      </c>
      <c r="I168" s="12">
        <v>0.71430000000000005</v>
      </c>
      <c r="J168" s="12">
        <v>0.63060000000000005</v>
      </c>
    </row>
    <row r="169" spans="1:10" x14ac:dyDescent="0.35">
      <c r="A169" t="s">
        <v>333</v>
      </c>
      <c r="B169" t="s">
        <v>334</v>
      </c>
      <c r="C169" t="s">
        <v>63</v>
      </c>
      <c r="D169" t="s">
        <v>64</v>
      </c>
      <c r="H169" s="12">
        <v>0.34229999999999999</v>
      </c>
      <c r="J169" s="12">
        <v>0.34229999999999999</v>
      </c>
    </row>
    <row r="170" spans="1:10" x14ac:dyDescent="0.35">
      <c r="A170" t="s">
        <v>335</v>
      </c>
      <c r="B170" t="s">
        <v>72</v>
      </c>
      <c r="C170" t="s">
        <v>63</v>
      </c>
      <c r="D170" t="s">
        <v>73</v>
      </c>
      <c r="H170" s="12">
        <v>0.52429999999999999</v>
      </c>
      <c r="J170" s="12">
        <v>0.52429999999999999</v>
      </c>
    </row>
    <row r="171" spans="1:10" x14ac:dyDescent="0.35">
      <c r="A171" t="s">
        <v>336</v>
      </c>
      <c r="B171" t="s">
        <v>236</v>
      </c>
      <c r="C171" t="s">
        <v>63</v>
      </c>
      <c r="D171" t="s">
        <v>237</v>
      </c>
      <c r="E171" s="12">
        <v>0.50580000000000003</v>
      </c>
      <c r="H171" s="12">
        <v>0.4516</v>
      </c>
      <c r="J171" s="12">
        <v>0.49020000000000002</v>
      </c>
    </row>
    <row r="172" spans="1:10" x14ac:dyDescent="0.35">
      <c r="A172" t="s">
        <v>337</v>
      </c>
      <c r="B172" t="s">
        <v>338</v>
      </c>
      <c r="C172" t="s">
        <v>63</v>
      </c>
      <c r="D172" t="s">
        <v>64</v>
      </c>
      <c r="E172" s="12">
        <v>0.45100000000000001</v>
      </c>
      <c r="F172" s="12">
        <v>0.42859999999999998</v>
      </c>
      <c r="G172" s="12">
        <v>0.6462</v>
      </c>
      <c r="H172" s="12">
        <v>0.20749999999999999</v>
      </c>
      <c r="I172" s="12">
        <v>0.51090000000000002</v>
      </c>
      <c r="J172" s="12">
        <v>0.46310000000000001</v>
      </c>
    </row>
    <row r="173" spans="1:10" x14ac:dyDescent="0.35">
      <c r="A173" t="s">
        <v>339</v>
      </c>
      <c r="B173" t="s">
        <v>172</v>
      </c>
      <c r="C173" t="s">
        <v>63</v>
      </c>
      <c r="D173" t="s">
        <v>64</v>
      </c>
      <c r="F173" s="12">
        <v>0.65529999999999999</v>
      </c>
      <c r="H173" s="12">
        <v>0.8</v>
      </c>
      <c r="I173" s="12">
        <v>0.88109999999999999</v>
      </c>
      <c r="J173" s="12">
        <v>0.66420000000000001</v>
      </c>
    </row>
    <row r="174" spans="1:10" x14ac:dyDescent="0.35">
      <c r="A174" t="s">
        <v>340</v>
      </c>
      <c r="B174" t="s">
        <v>77</v>
      </c>
      <c r="C174" t="s">
        <v>63</v>
      </c>
      <c r="D174" t="s">
        <v>64</v>
      </c>
      <c r="F174" s="12">
        <v>0.79139999999999999</v>
      </c>
      <c r="H174" s="12">
        <v>0.55689999999999995</v>
      </c>
      <c r="I174" s="12">
        <v>0.74690000000000001</v>
      </c>
      <c r="J174" s="12">
        <v>0.69940000000000002</v>
      </c>
    </row>
    <row r="175" spans="1:10" x14ac:dyDescent="0.35">
      <c r="A175" t="s">
        <v>341</v>
      </c>
      <c r="B175" t="s">
        <v>135</v>
      </c>
      <c r="C175" t="s">
        <v>63</v>
      </c>
      <c r="D175" t="s">
        <v>64</v>
      </c>
      <c r="F175" s="12">
        <v>0.84870000000000001</v>
      </c>
      <c r="H175" s="12">
        <v>0.68879999999999997</v>
      </c>
      <c r="I175" s="12">
        <v>0.88339999999999996</v>
      </c>
      <c r="J175" s="12">
        <v>0.83360000000000001</v>
      </c>
    </row>
    <row r="176" spans="1:10" x14ac:dyDescent="0.35">
      <c r="A176" t="s">
        <v>342</v>
      </c>
      <c r="B176" t="s">
        <v>77</v>
      </c>
      <c r="C176" t="s">
        <v>63</v>
      </c>
      <c r="D176" t="s">
        <v>64</v>
      </c>
      <c r="E176" s="12">
        <v>0.3448</v>
      </c>
      <c r="G176" s="12">
        <v>1</v>
      </c>
      <c r="J176" s="12">
        <v>0.34710000000000002</v>
      </c>
    </row>
    <row r="177" spans="1:10" x14ac:dyDescent="0.35">
      <c r="A177" t="s">
        <v>343</v>
      </c>
      <c r="B177" t="s">
        <v>344</v>
      </c>
      <c r="C177" t="s">
        <v>63</v>
      </c>
      <c r="D177" t="s">
        <v>64</v>
      </c>
      <c r="E177" s="12">
        <v>0.5968</v>
      </c>
      <c r="G177" s="12">
        <v>0.5625</v>
      </c>
      <c r="J177" s="12">
        <v>0.58660000000000001</v>
      </c>
    </row>
    <row r="178" spans="1:10" x14ac:dyDescent="0.35">
      <c r="A178" t="s">
        <v>345</v>
      </c>
      <c r="B178" t="s">
        <v>346</v>
      </c>
      <c r="C178" t="s">
        <v>63</v>
      </c>
      <c r="D178" t="s">
        <v>64</v>
      </c>
      <c r="H178" s="12">
        <v>0.31</v>
      </c>
      <c r="J178" s="12">
        <v>0.31</v>
      </c>
    </row>
    <row r="179" spans="1:10" x14ac:dyDescent="0.35">
      <c r="A179" t="s">
        <v>347</v>
      </c>
      <c r="B179" t="s">
        <v>348</v>
      </c>
      <c r="C179" t="s">
        <v>63</v>
      </c>
      <c r="D179" t="s">
        <v>64</v>
      </c>
      <c r="H179" s="12">
        <v>0.29110000000000003</v>
      </c>
      <c r="J179" s="12">
        <v>0.29110000000000003</v>
      </c>
    </row>
    <row r="180" spans="1:10" x14ac:dyDescent="0.35">
      <c r="A180" t="s">
        <v>349</v>
      </c>
      <c r="B180" t="s">
        <v>176</v>
      </c>
      <c r="C180" t="s">
        <v>63</v>
      </c>
      <c r="D180" t="s">
        <v>64</v>
      </c>
      <c r="E180" s="12">
        <v>0.71850000000000003</v>
      </c>
      <c r="F180" s="12">
        <v>0.78849999999999998</v>
      </c>
      <c r="G180" s="12">
        <v>0.77310000000000001</v>
      </c>
      <c r="I180" s="12">
        <v>0.78790000000000004</v>
      </c>
      <c r="J180" s="12">
        <v>0.72799999999999998</v>
      </c>
    </row>
    <row r="181" spans="1:10" x14ac:dyDescent="0.35">
      <c r="A181" t="s">
        <v>350</v>
      </c>
      <c r="B181" t="s">
        <v>351</v>
      </c>
      <c r="C181" t="s">
        <v>63</v>
      </c>
      <c r="D181" t="s">
        <v>64</v>
      </c>
      <c r="H181" s="12">
        <v>0.39779999999999999</v>
      </c>
      <c r="J181" s="12">
        <v>0.39779999999999999</v>
      </c>
    </row>
    <row r="182" spans="1:10" x14ac:dyDescent="0.35">
      <c r="A182" t="s">
        <v>352</v>
      </c>
      <c r="B182" t="s">
        <v>353</v>
      </c>
      <c r="C182" t="s">
        <v>63</v>
      </c>
      <c r="D182" t="s">
        <v>64</v>
      </c>
      <c r="H182" s="12">
        <v>0.36890000000000001</v>
      </c>
      <c r="J182" s="12">
        <v>0.36890000000000001</v>
      </c>
    </row>
    <row r="183" spans="1:10" x14ac:dyDescent="0.35">
      <c r="A183" t="s">
        <v>354</v>
      </c>
      <c r="B183" t="s">
        <v>355</v>
      </c>
      <c r="C183" t="s">
        <v>63</v>
      </c>
      <c r="D183" t="s">
        <v>64</v>
      </c>
      <c r="F183" s="12">
        <v>0.63570000000000004</v>
      </c>
      <c r="H183" s="12">
        <v>0</v>
      </c>
      <c r="I183" s="12">
        <v>0.61209999999999998</v>
      </c>
      <c r="J183" s="12">
        <v>0.62580000000000002</v>
      </c>
    </row>
    <row r="184" spans="1:10" x14ac:dyDescent="0.35">
      <c r="A184" t="s">
        <v>356</v>
      </c>
      <c r="B184" t="s">
        <v>355</v>
      </c>
      <c r="C184" t="s">
        <v>63</v>
      </c>
      <c r="D184" t="s">
        <v>64</v>
      </c>
      <c r="E184" s="12">
        <v>1</v>
      </c>
      <c r="F184" s="12">
        <v>0.43819999999999998</v>
      </c>
      <c r="G184" s="12">
        <v>0.1852</v>
      </c>
      <c r="H184" s="12">
        <v>0.11260000000000001</v>
      </c>
      <c r="I184" s="12">
        <v>0.48549999999999999</v>
      </c>
      <c r="J184" s="12">
        <v>0.44750000000000001</v>
      </c>
    </row>
    <row r="185" spans="1:10" x14ac:dyDescent="0.35">
      <c r="A185" t="s">
        <v>357</v>
      </c>
      <c r="B185" t="s">
        <v>77</v>
      </c>
      <c r="C185" t="s">
        <v>63</v>
      </c>
      <c r="D185" t="s">
        <v>78</v>
      </c>
      <c r="E185" s="12">
        <v>0.40989999999999999</v>
      </c>
      <c r="J185" s="12">
        <v>0.40989999999999999</v>
      </c>
    </row>
    <row r="186" spans="1:10" x14ac:dyDescent="0.35">
      <c r="A186" t="s">
        <v>358</v>
      </c>
      <c r="B186" t="s">
        <v>359</v>
      </c>
      <c r="C186" t="s">
        <v>63</v>
      </c>
      <c r="D186" t="s">
        <v>64</v>
      </c>
      <c r="H186" s="12">
        <v>0.44140000000000001</v>
      </c>
      <c r="J186" s="12">
        <v>0.44140000000000001</v>
      </c>
    </row>
    <row r="187" spans="1:10" x14ac:dyDescent="0.35">
      <c r="A187" t="s">
        <v>360</v>
      </c>
      <c r="B187" t="s">
        <v>361</v>
      </c>
      <c r="C187" t="s">
        <v>63</v>
      </c>
      <c r="D187" t="s">
        <v>78</v>
      </c>
      <c r="G187" s="12">
        <v>0.14799999999999999</v>
      </c>
      <c r="J187" s="12">
        <v>0.14799999999999999</v>
      </c>
    </row>
    <row r="188" spans="1:10" x14ac:dyDescent="0.35">
      <c r="A188" t="s">
        <v>362</v>
      </c>
      <c r="B188" t="s">
        <v>363</v>
      </c>
      <c r="C188" t="s">
        <v>63</v>
      </c>
      <c r="D188" t="s">
        <v>64</v>
      </c>
      <c r="H188" s="12">
        <v>0.57369999999999999</v>
      </c>
      <c r="J188" s="12">
        <v>0.57369999999999999</v>
      </c>
    </row>
    <row r="189" spans="1:10" x14ac:dyDescent="0.35">
      <c r="A189" t="s">
        <v>364</v>
      </c>
      <c r="B189" t="s">
        <v>365</v>
      </c>
      <c r="C189" t="s">
        <v>63</v>
      </c>
      <c r="D189" t="s">
        <v>64</v>
      </c>
      <c r="H189" s="12">
        <v>0.81879999999999997</v>
      </c>
      <c r="J189" s="12">
        <v>0.81879999999999997</v>
      </c>
    </row>
    <row r="190" spans="1:10" x14ac:dyDescent="0.35">
      <c r="A190" t="s">
        <v>366</v>
      </c>
      <c r="B190" t="s">
        <v>367</v>
      </c>
      <c r="C190" t="s">
        <v>63</v>
      </c>
      <c r="D190" t="s">
        <v>237</v>
      </c>
      <c r="H190" s="12">
        <v>0.37519999999999998</v>
      </c>
      <c r="J190" s="12">
        <v>0.37519999999999998</v>
      </c>
    </row>
    <row r="191" spans="1:10" x14ac:dyDescent="0.35">
      <c r="A191" t="s">
        <v>368</v>
      </c>
      <c r="B191" t="s">
        <v>367</v>
      </c>
      <c r="C191" t="s">
        <v>63</v>
      </c>
      <c r="D191" t="s">
        <v>237</v>
      </c>
      <c r="H191" s="12">
        <v>0.49890000000000001</v>
      </c>
      <c r="J191" s="12">
        <v>0.49890000000000001</v>
      </c>
    </row>
    <row r="192" spans="1:10" x14ac:dyDescent="0.35">
      <c r="A192" t="s">
        <v>369</v>
      </c>
      <c r="B192" t="s">
        <v>184</v>
      </c>
      <c r="C192" t="s">
        <v>63</v>
      </c>
      <c r="D192" t="s">
        <v>64</v>
      </c>
      <c r="E192" s="12">
        <v>0.65700000000000003</v>
      </c>
      <c r="G192" s="12">
        <v>0.57620000000000005</v>
      </c>
      <c r="H192" s="12">
        <v>0</v>
      </c>
      <c r="J192" s="12">
        <v>0.64729999999999999</v>
      </c>
    </row>
    <row r="193" spans="1:10" x14ac:dyDescent="0.35">
      <c r="A193" t="s">
        <v>370</v>
      </c>
      <c r="B193" t="s">
        <v>170</v>
      </c>
      <c r="C193" t="s">
        <v>63</v>
      </c>
      <c r="D193" t="s">
        <v>78</v>
      </c>
      <c r="G193" s="12">
        <v>0.52500000000000002</v>
      </c>
      <c r="J193" s="12">
        <v>0.52500000000000002</v>
      </c>
    </row>
    <row r="194" spans="1:10" x14ac:dyDescent="0.35">
      <c r="A194" t="s">
        <v>371</v>
      </c>
      <c r="B194" t="s">
        <v>77</v>
      </c>
      <c r="C194" t="s">
        <v>86</v>
      </c>
      <c r="D194" t="s">
        <v>64</v>
      </c>
      <c r="F194" s="12">
        <v>0.56579999999999997</v>
      </c>
      <c r="H194" s="12">
        <v>0.626</v>
      </c>
      <c r="I194" s="12">
        <v>0.5</v>
      </c>
      <c r="J194" s="12">
        <v>0.62360000000000004</v>
      </c>
    </row>
    <row r="195" spans="1:10" x14ac:dyDescent="0.35">
      <c r="A195" t="s">
        <v>372</v>
      </c>
      <c r="B195" t="s">
        <v>278</v>
      </c>
      <c r="C195" t="s">
        <v>86</v>
      </c>
      <c r="D195" t="s">
        <v>64</v>
      </c>
      <c r="F195" s="12">
        <v>0.84430000000000005</v>
      </c>
      <c r="G195" s="12">
        <v>0.32500000000000001</v>
      </c>
      <c r="H195" s="12">
        <v>0.89300000000000002</v>
      </c>
      <c r="I195" s="12">
        <v>0.88970000000000005</v>
      </c>
      <c r="J195" s="12">
        <v>0.85819999999999996</v>
      </c>
    </row>
    <row r="196" spans="1:10" x14ac:dyDescent="0.35">
      <c r="A196" t="s">
        <v>373</v>
      </c>
      <c r="B196" t="s">
        <v>180</v>
      </c>
      <c r="C196" t="s">
        <v>63</v>
      </c>
      <c r="D196" t="s">
        <v>64</v>
      </c>
      <c r="E196" s="12">
        <v>0.59089999999999998</v>
      </c>
      <c r="F196" s="12">
        <v>1</v>
      </c>
      <c r="G196" s="12">
        <v>0.50209999999999999</v>
      </c>
      <c r="H196" s="12">
        <v>3.6999999999999998E-2</v>
      </c>
      <c r="I196" s="12">
        <v>0.69889999999999997</v>
      </c>
      <c r="J196" s="12">
        <v>0.58520000000000005</v>
      </c>
    </row>
    <row r="197" spans="1:10" x14ac:dyDescent="0.35">
      <c r="A197" t="s">
        <v>374</v>
      </c>
      <c r="B197" t="s">
        <v>375</v>
      </c>
      <c r="C197" t="s">
        <v>63</v>
      </c>
      <c r="D197" t="s">
        <v>64</v>
      </c>
      <c r="G197" s="12">
        <v>0.37409999999999999</v>
      </c>
      <c r="J197" s="12">
        <v>0.37409999999999999</v>
      </c>
    </row>
    <row r="198" spans="1:10" x14ac:dyDescent="0.35">
      <c r="A198" t="s">
        <v>376</v>
      </c>
      <c r="B198" t="s">
        <v>377</v>
      </c>
      <c r="C198" t="s">
        <v>63</v>
      </c>
      <c r="D198" t="s">
        <v>64</v>
      </c>
      <c r="H198" s="12">
        <v>0.62280000000000002</v>
      </c>
      <c r="J198" s="12">
        <v>0.62280000000000002</v>
      </c>
    </row>
    <row r="199" spans="1:10" x14ac:dyDescent="0.35">
      <c r="A199" t="s">
        <v>378</v>
      </c>
      <c r="B199" t="s">
        <v>77</v>
      </c>
      <c r="C199" t="s">
        <v>63</v>
      </c>
      <c r="D199" t="s">
        <v>64</v>
      </c>
      <c r="E199" s="12">
        <v>0.14499999999999999</v>
      </c>
      <c r="I199" s="12">
        <v>9.4600000000000004E-2</v>
      </c>
      <c r="J199" s="12">
        <v>0.1069</v>
      </c>
    </row>
    <row r="200" spans="1:10" x14ac:dyDescent="0.35">
      <c r="A200" t="s">
        <v>379</v>
      </c>
      <c r="B200" t="s">
        <v>77</v>
      </c>
      <c r="C200" t="s">
        <v>63</v>
      </c>
      <c r="D200" t="s">
        <v>64</v>
      </c>
      <c r="F200" s="12">
        <v>0.15809999999999999</v>
      </c>
      <c r="I200" s="12">
        <v>0.25</v>
      </c>
      <c r="J200" s="12">
        <v>0.16919999999999999</v>
      </c>
    </row>
    <row r="201" spans="1:10" x14ac:dyDescent="0.35">
      <c r="A201" t="s">
        <v>380</v>
      </c>
      <c r="B201" t="s">
        <v>381</v>
      </c>
      <c r="C201" t="s">
        <v>63</v>
      </c>
      <c r="D201" t="s">
        <v>64</v>
      </c>
      <c r="E201" s="12">
        <v>0.52339999999999998</v>
      </c>
      <c r="G201" s="12">
        <v>0.53280000000000005</v>
      </c>
      <c r="H201" s="12">
        <v>0.48280000000000001</v>
      </c>
      <c r="J201" s="12">
        <v>0.52380000000000004</v>
      </c>
    </row>
    <row r="202" spans="1:10" x14ac:dyDescent="0.35">
      <c r="A202" t="s">
        <v>382</v>
      </c>
      <c r="B202" t="s">
        <v>383</v>
      </c>
      <c r="C202" t="s">
        <v>63</v>
      </c>
      <c r="D202" t="s">
        <v>64</v>
      </c>
      <c r="H202" s="12">
        <v>0.6744</v>
      </c>
      <c r="J202" s="12">
        <v>0.6744</v>
      </c>
    </row>
    <row r="203" spans="1:10" x14ac:dyDescent="0.35">
      <c r="A203" t="s">
        <v>384</v>
      </c>
      <c r="B203" t="s">
        <v>385</v>
      </c>
      <c r="C203" t="s">
        <v>63</v>
      </c>
      <c r="D203" t="s">
        <v>64</v>
      </c>
      <c r="E203" s="12">
        <v>0.1525</v>
      </c>
      <c r="J203" s="12">
        <v>0.1525</v>
      </c>
    </row>
    <row r="204" spans="1:10" x14ac:dyDescent="0.35">
      <c r="A204" t="s">
        <v>386</v>
      </c>
      <c r="B204" t="s">
        <v>387</v>
      </c>
      <c r="C204" t="s">
        <v>63</v>
      </c>
      <c r="D204" t="s">
        <v>64</v>
      </c>
      <c r="E204" s="12">
        <v>0.45710000000000001</v>
      </c>
      <c r="F204" s="12">
        <v>0.33329999999999999</v>
      </c>
      <c r="G204" s="12">
        <v>0</v>
      </c>
      <c r="I204" s="12">
        <v>0.67789999999999995</v>
      </c>
      <c r="J204" s="12">
        <v>0.63460000000000005</v>
      </c>
    </row>
    <row r="205" spans="1:10" x14ac:dyDescent="0.35">
      <c r="A205" t="s">
        <v>388</v>
      </c>
      <c r="B205" t="s">
        <v>311</v>
      </c>
      <c r="C205" t="s">
        <v>63</v>
      </c>
      <c r="D205" t="s">
        <v>64</v>
      </c>
      <c r="G205" s="12">
        <v>0.51629999999999998</v>
      </c>
      <c r="J205" s="12">
        <v>0.51629999999999998</v>
      </c>
    </row>
    <row r="206" spans="1:10" x14ac:dyDescent="0.35">
      <c r="A206" t="s">
        <v>389</v>
      </c>
      <c r="B206" t="s">
        <v>390</v>
      </c>
      <c r="C206" t="s">
        <v>63</v>
      </c>
      <c r="D206" t="s">
        <v>64</v>
      </c>
      <c r="H206" s="12">
        <v>0.19439999999999999</v>
      </c>
      <c r="J206" s="12">
        <v>0.19439999999999999</v>
      </c>
    </row>
    <row r="207" spans="1:10" x14ac:dyDescent="0.35">
      <c r="A207" t="s">
        <v>391</v>
      </c>
      <c r="B207" t="s">
        <v>392</v>
      </c>
      <c r="C207" t="s">
        <v>63</v>
      </c>
      <c r="D207" t="s">
        <v>78</v>
      </c>
      <c r="H207" s="12">
        <v>0.3155</v>
      </c>
      <c r="J207" s="12">
        <v>0.3155</v>
      </c>
    </row>
    <row r="208" spans="1:10" x14ac:dyDescent="0.35">
      <c r="A208" t="s">
        <v>393</v>
      </c>
      <c r="B208" t="s">
        <v>394</v>
      </c>
      <c r="C208" t="s">
        <v>63</v>
      </c>
      <c r="D208" t="s">
        <v>64</v>
      </c>
      <c r="F208" s="12">
        <v>0.63090000000000002</v>
      </c>
      <c r="I208" s="12">
        <v>0.49819999999999998</v>
      </c>
      <c r="J208" s="12">
        <v>0.54410000000000003</v>
      </c>
    </row>
    <row r="209" spans="1:10" x14ac:dyDescent="0.35">
      <c r="A209" t="s">
        <v>395</v>
      </c>
      <c r="B209" t="s">
        <v>396</v>
      </c>
      <c r="C209" t="s">
        <v>63</v>
      </c>
      <c r="D209" t="s">
        <v>64</v>
      </c>
      <c r="E209" s="12">
        <v>0.2994</v>
      </c>
      <c r="J209" s="12">
        <v>0.2994</v>
      </c>
    </row>
    <row r="210" spans="1:10" x14ac:dyDescent="0.35">
      <c r="A210" t="s">
        <v>397</v>
      </c>
      <c r="B210" t="s">
        <v>398</v>
      </c>
      <c r="C210" t="s">
        <v>86</v>
      </c>
      <c r="D210" t="s">
        <v>64</v>
      </c>
      <c r="H210" s="12">
        <v>0.50770000000000004</v>
      </c>
      <c r="J210" s="12">
        <v>0.50770000000000004</v>
      </c>
    </row>
    <row r="211" spans="1:10" x14ac:dyDescent="0.35">
      <c r="A211" t="s">
        <v>399</v>
      </c>
      <c r="B211" t="s">
        <v>400</v>
      </c>
      <c r="C211" t="s">
        <v>63</v>
      </c>
      <c r="D211" t="s">
        <v>78</v>
      </c>
      <c r="H211" s="12">
        <v>0.5494</v>
      </c>
      <c r="J211" s="12">
        <v>0.5494</v>
      </c>
    </row>
    <row r="212" spans="1:10" x14ac:dyDescent="0.35">
      <c r="A212" t="s">
        <v>401</v>
      </c>
      <c r="B212" t="s">
        <v>402</v>
      </c>
      <c r="C212" t="s">
        <v>63</v>
      </c>
      <c r="D212" t="s">
        <v>64</v>
      </c>
      <c r="H212" s="12">
        <v>0</v>
      </c>
      <c r="J212" s="12">
        <v>0</v>
      </c>
    </row>
    <row r="213" spans="1:10" x14ac:dyDescent="0.35">
      <c r="A213" t="s">
        <v>403</v>
      </c>
      <c r="B213" t="s">
        <v>77</v>
      </c>
      <c r="C213" t="s">
        <v>63</v>
      </c>
      <c r="D213" t="s">
        <v>64</v>
      </c>
      <c r="F213" s="12">
        <v>0.89270000000000005</v>
      </c>
      <c r="H213" s="12">
        <v>0.86960000000000004</v>
      </c>
      <c r="I213" s="12">
        <v>0.93149999999999999</v>
      </c>
      <c r="J213" s="12">
        <v>0.90090000000000003</v>
      </c>
    </row>
    <row r="214" spans="1:10" x14ac:dyDescent="0.35">
      <c r="A214" t="s">
        <v>404</v>
      </c>
      <c r="B214" t="s">
        <v>102</v>
      </c>
      <c r="C214" t="s">
        <v>63</v>
      </c>
      <c r="D214" t="s">
        <v>64</v>
      </c>
      <c r="H214" s="12">
        <v>0.6673</v>
      </c>
      <c r="J214" s="12">
        <v>0.6673</v>
      </c>
    </row>
    <row r="215" spans="1:10" x14ac:dyDescent="0.35">
      <c r="A215" t="s">
        <v>405</v>
      </c>
      <c r="B215" t="s">
        <v>406</v>
      </c>
      <c r="C215" t="s">
        <v>63</v>
      </c>
      <c r="D215" t="s">
        <v>64</v>
      </c>
      <c r="H215" s="12">
        <v>0.39579999999999999</v>
      </c>
      <c r="J215" s="12">
        <v>0.39579999999999999</v>
      </c>
    </row>
    <row r="216" spans="1:10" x14ac:dyDescent="0.35">
      <c r="A216" t="s">
        <v>407</v>
      </c>
      <c r="B216" t="s">
        <v>77</v>
      </c>
      <c r="C216" t="s">
        <v>63</v>
      </c>
      <c r="D216" t="s">
        <v>64</v>
      </c>
      <c r="E216" s="12">
        <v>0.73770000000000002</v>
      </c>
      <c r="G216" s="12">
        <v>0.74260000000000004</v>
      </c>
      <c r="H216" s="12">
        <v>0.28570000000000001</v>
      </c>
      <c r="J216" s="12">
        <v>0.73719999999999997</v>
      </c>
    </row>
    <row r="217" spans="1:10" x14ac:dyDescent="0.35">
      <c r="A217" t="s">
        <v>408</v>
      </c>
      <c r="B217" t="s">
        <v>409</v>
      </c>
      <c r="C217" t="s">
        <v>63</v>
      </c>
      <c r="D217" t="s">
        <v>78</v>
      </c>
      <c r="E217" s="12">
        <v>0.42980000000000002</v>
      </c>
      <c r="J217" s="12">
        <v>0.42980000000000002</v>
      </c>
    </row>
    <row r="218" spans="1:10" x14ac:dyDescent="0.35">
      <c r="A218" t="s">
        <v>410</v>
      </c>
      <c r="B218" t="s">
        <v>411</v>
      </c>
      <c r="C218" t="s">
        <v>63</v>
      </c>
      <c r="D218" t="s">
        <v>64</v>
      </c>
      <c r="E218" s="12">
        <v>0.41830000000000001</v>
      </c>
      <c r="I218" s="12">
        <v>1</v>
      </c>
      <c r="J218" s="12">
        <v>0.41870000000000002</v>
      </c>
    </row>
    <row r="219" spans="1:10" x14ac:dyDescent="0.35">
      <c r="A219" t="s">
        <v>412</v>
      </c>
      <c r="B219" t="s">
        <v>413</v>
      </c>
      <c r="C219" t="s">
        <v>63</v>
      </c>
      <c r="D219" t="s">
        <v>64</v>
      </c>
      <c r="F219" s="12">
        <v>0.38100000000000001</v>
      </c>
      <c r="G219" s="12">
        <v>0</v>
      </c>
      <c r="H219" s="12">
        <v>0.46960000000000002</v>
      </c>
      <c r="I219" s="12">
        <v>0.48120000000000002</v>
      </c>
      <c r="J219" s="12">
        <v>0.44669999999999999</v>
      </c>
    </row>
    <row r="220" spans="1:10" x14ac:dyDescent="0.35">
      <c r="A220" t="s">
        <v>414</v>
      </c>
      <c r="B220" t="s">
        <v>413</v>
      </c>
      <c r="C220" t="s">
        <v>63</v>
      </c>
      <c r="D220" t="s">
        <v>64</v>
      </c>
      <c r="H220" s="12">
        <v>0.59789999999999999</v>
      </c>
      <c r="J220" s="12">
        <v>0.59789999999999999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6A09B-85E3-40B7-A494-26B4F45F6829}">
  <dimension ref="A1:I180"/>
  <sheetViews>
    <sheetView workbookViewId="0">
      <pane ySplit="1" topLeftCell="A2" activePane="bottomLeft" state="frozen"/>
      <selection pane="bottomLeft" activeCell="B5" sqref="B5"/>
    </sheetView>
  </sheetViews>
  <sheetFormatPr defaultRowHeight="14.5" x14ac:dyDescent="0.35"/>
  <cols>
    <col min="1" max="1" width="58" bestFit="1" customWidth="1"/>
    <col min="2" max="2" width="44.81640625" bestFit="1" customWidth="1"/>
    <col min="3" max="3" width="16.7265625" customWidth="1"/>
    <col min="4" max="4" width="22.81640625" bestFit="1" customWidth="1"/>
    <col min="5" max="5" width="24.81640625" customWidth="1"/>
    <col min="6" max="6" width="26.26953125" customWidth="1"/>
    <col min="7" max="7" width="15.7265625" customWidth="1"/>
    <col min="8" max="8" width="28.1796875" customWidth="1"/>
    <col min="9" max="9" width="14.453125" customWidth="1"/>
  </cols>
  <sheetData>
    <row r="1" spans="1:9" x14ac:dyDescent="0.35">
      <c r="A1" t="s">
        <v>52</v>
      </c>
      <c r="B1" t="s">
        <v>53</v>
      </c>
      <c r="C1" t="s">
        <v>54</v>
      </c>
      <c r="D1" t="s">
        <v>7</v>
      </c>
      <c r="E1" t="s">
        <v>55</v>
      </c>
      <c r="F1" t="s">
        <v>56</v>
      </c>
      <c r="G1" t="s">
        <v>57</v>
      </c>
      <c r="H1" t="s">
        <v>58</v>
      </c>
      <c r="I1" t="s">
        <v>59</v>
      </c>
    </row>
    <row r="2" spans="1:9" x14ac:dyDescent="0.35">
      <c r="A2" t="s">
        <v>61</v>
      </c>
      <c r="B2" t="s">
        <v>62</v>
      </c>
      <c r="C2" t="s">
        <v>63</v>
      </c>
      <c r="D2" t="s">
        <v>64</v>
      </c>
      <c r="E2">
        <v>1.44</v>
      </c>
      <c r="G2">
        <v>4.3899999999999997</v>
      </c>
    </row>
    <row r="3" spans="1:9" x14ac:dyDescent="0.35">
      <c r="A3" t="s">
        <v>65</v>
      </c>
      <c r="B3" t="s">
        <v>66</v>
      </c>
      <c r="C3" t="s">
        <v>63</v>
      </c>
      <c r="D3" t="s">
        <v>64</v>
      </c>
      <c r="H3">
        <v>1.57</v>
      </c>
    </row>
    <row r="4" spans="1:9" x14ac:dyDescent="0.35">
      <c r="A4" t="s">
        <v>67</v>
      </c>
      <c r="B4" t="s">
        <v>68</v>
      </c>
      <c r="C4" t="s">
        <v>63</v>
      </c>
      <c r="D4" t="s">
        <v>64</v>
      </c>
      <c r="H4">
        <v>13.04</v>
      </c>
    </row>
    <row r="5" spans="1:9" x14ac:dyDescent="0.35">
      <c r="A5" t="s">
        <v>69</v>
      </c>
      <c r="B5" t="s">
        <v>70</v>
      </c>
      <c r="C5" t="s">
        <v>63</v>
      </c>
      <c r="D5" t="s">
        <v>64</v>
      </c>
      <c r="H5">
        <v>1.1499999999999999</v>
      </c>
    </row>
    <row r="6" spans="1:9" x14ac:dyDescent="0.35">
      <c r="A6" t="s">
        <v>71</v>
      </c>
      <c r="B6" t="s">
        <v>72</v>
      </c>
      <c r="C6" t="s">
        <v>63</v>
      </c>
      <c r="D6" t="s">
        <v>73</v>
      </c>
      <c r="H6">
        <v>0.69</v>
      </c>
    </row>
    <row r="7" spans="1:9" x14ac:dyDescent="0.35">
      <c r="A7" t="s">
        <v>76</v>
      </c>
      <c r="B7" t="s">
        <v>77</v>
      </c>
      <c r="C7" t="s">
        <v>63</v>
      </c>
      <c r="D7" t="s">
        <v>78</v>
      </c>
      <c r="H7">
        <v>2.71</v>
      </c>
    </row>
    <row r="8" spans="1:9" x14ac:dyDescent="0.35">
      <c r="A8" t="s">
        <v>81</v>
      </c>
      <c r="B8" t="s">
        <v>82</v>
      </c>
      <c r="C8" t="s">
        <v>63</v>
      </c>
      <c r="D8" t="s">
        <v>64</v>
      </c>
      <c r="H8">
        <v>1.03</v>
      </c>
    </row>
    <row r="9" spans="1:9" x14ac:dyDescent="0.35">
      <c r="A9" t="s">
        <v>83</v>
      </c>
      <c r="B9" t="s">
        <v>82</v>
      </c>
      <c r="C9" t="s">
        <v>63</v>
      </c>
      <c r="D9" t="s">
        <v>64</v>
      </c>
      <c r="H9">
        <v>1.34</v>
      </c>
    </row>
    <row r="10" spans="1:9" x14ac:dyDescent="0.35">
      <c r="A10" t="s">
        <v>84</v>
      </c>
      <c r="B10" t="s">
        <v>85</v>
      </c>
      <c r="C10" t="s">
        <v>86</v>
      </c>
      <c r="D10" t="s">
        <v>64</v>
      </c>
      <c r="H10">
        <v>5.07</v>
      </c>
    </row>
    <row r="11" spans="1:9" x14ac:dyDescent="0.35">
      <c r="A11" t="s">
        <v>87</v>
      </c>
      <c r="B11" t="s">
        <v>88</v>
      </c>
      <c r="C11" t="s">
        <v>63</v>
      </c>
      <c r="D11" t="s">
        <v>78</v>
      </c>
      <c r="F11">
        <v>3.81</v>
      </c>
    </row>
    <row r="12" spans="1:9" x14ac:dyDescent="0.35">
      <c r="A12" t="s">
        <v>89</v>
      </c>
      <c r="B12" t="s">
        <v>88</v>
      </c>
      <c r="C12" t="s">
        <v>63</v>
      </c>
      <c r="D12" t="s">
        <v>78</v>
      </c>
      <c r="E12">
        <v>16.5</v>
      </c>
      <c r="F12">
        <v>1.1399999999999999</v>
      </c>
      <c r="I12">
        <v>2.09</v>
      </c>
    </row>
    <row r="13" spans="1:9" x14ac:dyDescent="0.35">
      <c r="A13" t="s">
        <v>90</v>
      </c>
      <c r="B13" t="s">
        <v>91</v>
      </c>
      <c r="C13" t="s">
        <v>63</v>
      </c>
      <c r="D13" t="s">
        <v>64</v>
      </c>
      <c r="E13">
        <v>1.69</v>
      </c>
      <c r="G13">
        <v>13.31</v>
      </c>
    </row>
    <row r="14" spans="1:9" x14ac:dyDescent="0.35">
      <c r="A14" t="s">
        <v>92</v>
      </c>
      <c r="B14" t="s">
        <v>93</v>
      </c>
      <c r="C14" t="s">
        <v>63</v>
      </c>
      <c r="D14" t="s">
        <v>64</v>
      </c>
      <c r="H14">
        <v>0.56000000000000005</v>
      </c>
    </row>
    <row r="15" spans="1:9" x14ac:dyDescent="0.35">
      <c r="A15" t="s">
        <v>94</v>
      </c>
      <c r="B15" t="s">
        <v>95</v>
      </c>
      <c r="C15" t="s">
        <v>63</v>
      </c>
      <c r="D15" t="s">
        <v>64</v>
      </c>
      <c r="E15">
        <v>4.29</v>
      </c>
      <c r="H15">
        <v>0.03</v>
      </c>
    </row>
    <row r="16" spans="1:9" x14ac:dyDescent="0.35">
      <c r="A16" t="s">
        <v>96</v>
      </c>
      <c r="B16" t="s">
        <v>97</v>
      </c>
      <c r="C16" t="s">
        <v>63</v>
      </c>
      <c r="D16" t="s">
        <v>64</v>
      </c>
      <c r="H16">
        <v>0.2</v>
      </c>
    </row>
    <row r="17" spans="1:9" x14ac:dyDescent="0.35">
      <c r="A17" t="s">
        <v>98</v>
      </c>
      <c r="B17" t="s">
        <v>99</v>
      </c>
      <c r="C17" t="s">
        <v>63</v>
      </c>
      <c r="D17" t="s">
        <v>64</v>
      </c>
      <c r="H17">
        <v>0.36</v>
      </c>
    </row>
    <row r="18" spans="1:9" x14ac:dyDescent="0.35">
      <c r="A18" t="s">
        <v>101</v>
      </c>
      <c r="B18" t="s">
        <v>102</v>
      </c>
      <c r="C18" t="s">
        <v>63</v>
      </c>
      <c r="D18" t="s">
        <v>64</v>
      </c>
      <c r="H18">
        <v>3.29</v>
      </c>
    </row>
    <row r="19" spans="1:9" x14ac:dyDescent="0.35">
      <c r="A19" t="s">
        <v>103</v>
      </c>
      <c r="B19" t="s">
        <v>104</v>
      </c>
      <c r="C19" t="s">
        <v>63</v>
      </c>
      <c r="D19" t="s">
        <v>64</v>
      </c>
      <c r="H19">
        <v>0.31</v>
      </c>
    </row>
    <row r="20" spans="1:9" x14ac:dyDescent="0.35">
      <c r="A20" t="s">
        <v>107</v>
      </c>
      <c r="B20" t="s">
        <v>108</v>
      </c>
      <c r="C20" t="s">
        <v>63</v>
      </c>
      <c r="D20" t="s">
        <v>109</v>
      </c>
      <c r="E20">
        <v>10.1</v>
      </c>
      <c r="G20">
        <v>38.9</v>
      </c>
    </row>
    <row r="21" spans="1:9" x14ac:dyDescent="0.35">
      <c r="A21" t="s">
        <v>110</v>
      </c>
      <c r="B21" t="s">
        <v>111</v>
      </c>
      <c r="C21" t="s">
        <v>63</v>
      </c>
      <c r="D21" t="s">
        <v>64</v>
      </c>
      <c r="H21">
        <v>1.18</v>
      </c>
    </row>
    <row r="22" spans="1:9" x14ac:dyDescent="0.35">
      <c r="A22" t="s">
        <v>112</v>
      </c>
      <c r="B22" t="s">
        <v>113</v>
      </c>
      <c r="C22" t="s">
        <v>63</v>
      </c>
      <c r="D22" t="s">
        <v>109</v>
      </c>
      <c r="H22">
        <v>0.52</v>
      </c>
    </row>
    <row r="23" spans="1:9" x14ac:dyDescent="0.35">
      <c r="A23" t="s">
        <v>114</v>
      </c>
      <c r="B23" t="s">
        <v>115</v>
      </c>
      <c r="C23" t="s">
        <v>63</v>
      </c>
      <c r="D23" t="s">
        <v>64</v>
      </c>
      <c r="H23">
        <v>2.2400000000000002</v>
      </c>
    </row>
    <row r="24" spans="1:9" x14ac:dyDescent="0.35">
      <c r="A24" t="s">
        <v>116</v>
      </c>
      <c r="B24" t="s">
        <v>68</v>
      </c>
      <c r="C24" t="s">
        <v>63</v>
      </c>
      <c r="D24" t="s">
        <v>64</v>
      </c>
      <c r="H24">
        <v>4.22</v>
      </c>
    </row>
    <row r="25" spans="1:9" x14ac:dyDescent="0.35">
      <c r="A25" t="s">
        <v>119</v>
      </c>
      <c r="B25" t="s">
        <v>120</v>
      </c>
      <c r="C25" t="s">
        <v>63</v>
      </c>
      <c r="D25" t="s">
        <v>64</v>
      </c>
      <c r="H25">
        <v>3.17</v>
      </c>
    </row>
    <row r="26" spans="1:9" x14ac:dyDescent="0.35">
      <c r="A26" t="s">
        <v>123</v>
      </c>
      <c r="B26" t="s">
        <v>122</v>
      </c>
      <c r="C26" t="s">
        <v>63</v>
      </c>
      <c r="D26" t="s">
        <v>64</v>
      </c>
      <c r="H26">
        <v>2.72</v>
      </c>
    </row>
    <row r="27" spans="1:9" x14ac:dyDescent="0.35">
      <c r="A27" t="s">
        <v>124</v>
      </c>
      <c r="B27" t="s">
        <v>122</v>
      </c>
      <c r="C27" t="s">
        <v>63</v>
      </c>
      <c r="D27" t="s">
        <v>64</v>
      </c>
      <c r="F27">
        <v>2.11</v>
      </c>
      <c r="G27">
        <v>7.84</v>
      </c>
      <c r="H27">
        <v>1.22</v>
      </c>
      <c r="I27">
        <v>2.88</v>
      </c>
    </row>
    <row r="28" spans="1:9" x14ac:dyDescent="0.35">
      <c r="A28" t="s">
        <v>125</v>
      </c>
      <c r="B28" t="s">
        <v>122</v>
      </c>
      <c r="C28" t="s">
        <v>63</v>
      </c>
      <c r="D28" t="s">
        <v>64</v>
      </c>
      <c r="H28">
        <v>0.62</v>
      </c>
    </row>
    <row r="29" spans="1:9" x14ac:dyDescent="0.35">
      <c r="A29" t="s">
        <v>126</v>
      </c>
      <c r="B29" t="s">
        <v>93</v>
      </c>
      <c r="C29" t="s">
        <v>86</v>
      </c>
      <c r="D29" t="s">
        <v>64</v>
      </c>
      <c r="H29">
        <v>0.63</v>
      </c>
    </row>
    <row r="30" spans="1:9" x14ac:dyDescent="0.35">
      <c r="A30" t="s">
        <v>127</v>
      </c>
      <c r="B30" t="s">
        <v>93</v>
      </c>
      <c r="C30" t="s">
        <v>86</v>
      </c>
      <c r="D30" t="s">
        <v>64</v>
      </c>
      <c r="H30">
        <v>0.41</v>
      </c>
    </row>
    <row r="31" spans="1:9" x14ac:dyDescent="0.35">
      <c r="A31" t="s">
        <v>128</v>
      </c>
      <c r="B31" t="s">
        <v>129</v>
      </c>
      <c r="C31" t="s">
        <v>63</v>
      </c>
      <c r="D31" t="s">
        <v>64</v>
      </c>
      <c r="H31">
        <v>7.52</v>
      </c>
    </row>
    <row r="32" spans="1:9" x14ac:dyDescent="0.35">
      <c r="A32" t="s">
        <v>130</v>
      </c>
      <c r="B32" t="s">
        <v>129</v>
      </c>
      <c r="C32" t="s">
        <v>63</v>
      </c>
      <c r="D32" t="s">
        <v>64</v>
      </c>
      <c r="H32">
        <v>4.7699999999999996</v>
      </c>
    </row>
    <row r="33" spans="1:9" x14ac:dyDescent="0.35">
      <c r="A33" t="s">
        <v>131</v>
      </c>
      <c r="B33" t="s">
        <v>129</v>
      </c>
      <c r="C33" t="s">
        <v>63</v>
      </c>
      <c r="D33" t="s">
        <v>64</v>
      </c>
      <c r="H33">
        <v>12.25</v>
      </c>
    </row>
    <row r="34" spans="1:9" x14ac:dyDescent="0.35">
      <c r="A34" t="s">
        <v>132</v>
      </c>
      <c r="B34" t="s">
        <v>133</v>
      </c>
      <c r="C34" t="s">
        <v>86</v>
      </c>
      <c r="D34" t="s">
        <v>64</v>
      </c>
      <c r="E34">
        <v>1.85</v>
      </c>
      <c r="G34">
        <v>9.8800000000000008</v>
      </c>
    </row>
    <row r="35" spans="1:9" x14ac:dyDescent="0.35">
      <c r="A35" t="s">
        <v>134</v>
      </c>
      <c r="B35" t="s">
        <v>135</v>
      </c>
      <c r="C35" t="s">
        <v>63</v>
      </c>
      <c r="D35" t="s">
        <v>64</v>
      </c>
      <c r="E35">
        <v>1.91</v>
      </c>
      <c r="F35">
        <v>0.1</v>
      </c>
      <c r="G35">
        <v>5.96</v>
      </c>
      <c r="H35">
        <v>0.27</v>
      </c>
      <c r="I35">
        <v>0.25</v>
      </c>
    </row>
    <row r="36" spans="1:9" x14ac:dyDescent="0.35">
      <c r="A36" t="s">
        <v>136</v>
      </c>
      <c r="B36" t="s">
        <v>137</v>
      </c>
      <c r="C36" t="s">
        <v>63</v>
      </c>
      <c r="D36" t="s">
        <v>64</v>
      </c>
      <c r="E36">
        <v>7.92</v>
      </c>
      <c r="G36">
        <v>1.1499999999999999</v>
      </c>
      <c r="I36">
        <v>2.11</v>
      </c>
    </row>
    <row r="37" spans="1:9" x14ac:dyDescent="0.35">
      <c r="A37" t="s">
        <v>138</v>
      </c>
      <c r="B37" t="s">
        <v>137</v>
      </c>
      <c r="C37" t="s">
        <v>63</v>
      </c>
      <c r="D37" t="s">
        <v>64</v>
      </c>
      <c r="E37">
        <v>2.0099999999999998</v>
      </c>
      <c r="G37">
        <v>6.01</v>
      </c>
      <c r="H37">
        <v>0.68</v>
      </c>
    </row>
    <row r="38" spans="1:9" x14ac:dyDescent="0.35">
      <c r="A38" t="s">
        <v>139</v>
      </c>
      <c r="B38" t="s">
        <v>68</v>
      </c>
      <c r="C38" t="s">
        <v>63</v>
      </c>
      <c r="D38" t="s">
        <v>64</v>
      </c>
      <c r="H38" s="10">
        <v>5.23</v>
      </c>
    </row>
    <row r="39" spans="1:9" x14ac:dyDescent="0.35">
      <c r="A39" t="s">
        <v>140</v>
      </c>
      <c r="B39" t="s">
        <v>141</v>
      </c>
      <c r="C39" t="s">
        <v>86</v>
      </c>
      <c r="D39" t="s">
        <v>64</v>
      </c>
      <c r="H39">
        <v>9.18</v>
      </c>
    </row>
    <row r="40" spans="1:9" x14ac:dyDescent="0.35">
      <c r="A40" t="s">
        <v>142</v>
      </c>
      <c r="B40" t="s">
        <v>143</v>
      </c>
      <c r="C40" t="s">
        <v>86</v>
      </c>
      <c r="D40" t="s">
        <v>64</v>
      </c>
      <c r="H40">
        <v>8.17</v>
      </c>
    </row>
    <row r="41" spans="1:9" x14ac:dyDescent="0.35">
      <c r="A41" t="s">
        <v>146</v>
      </c>
      <c r="B41" t="s">
        <v>147</v>
      </c>
      <c r="C41" t="s">
        <v>63</v>
      </c>
      <c r="D41" t="s">
        <v>109</v>
      </c>
      <c r="E41">
        <v>40.86</v>
      </c>
    </row>
    <row r="42" spans="1:9" x14ac:dyDescent="0.35">
      <c r="A42" t="s">
        <v>149</v>
      </c>
      <c r="B42" t="s">
        <v>150</v>
      </c>
      <c r="C42" t="s">
        <v>63</v>
      </c>
      <c r="D42" t="s">
        <v>64</v>
      </c>
      <c r="F42">
        <v>0.72</v>
      </c>
      <c r="H42">
        <v>7.0000000000000007E-2</v>
      </c>
      <c r="I42">
        <v>2.8</v>
      </c>
    </row>
    <row r="43" spans="1:9" x14ac:dyDescent="0.35">
      <c r="A43" t="s">
        <v>151</v>
      </c>
      <c r="B43" t="s">
        <v>152</v>
      </c>
      <c r="C43" t="s">
        <v>63</v>
      </c>
      <c r="D43" t="s">
        <v>64</v>
      </c>
      <c r="E43">
        <v>5.34</v>
      </c>
      <c r="H43">
        <v>0.01</v>
      </c>
    </row>
    <row r="44" spans="1:9" x14ac:dyDescent="0.35">
      <c r="A44" t="s">
        <v>153</v>
      </c>
      <c r="B44" t="s">
        <v>77</v>
      </c>
      <c r="C44" t="s">
        <v>86</v>
      </c>
      <c r="D44" t="s">
        <v>64</v>
      </c>
      <c r="H44">
        <v>1.1599999999999999</v>
      </c>
    </row>
    <row r="45" spans="1:9" x14ac:dyDescent="0.35">
      <c r="A45" t="s">
        <v>157</v>
      </c>
      <c r="B45" t="s">
        <v>68</v>
      </c>
      <c r="C45" t="s">
        <v>63</v>
      </c>
      <c r="D45" t="s">
        <v>64</v>
      </c>
      <c r="H45">
        <v>5.38</v>
      </c>
    </row>
    <row r="46" spans="1:9" x14ac:dyDescent="0.35">
      <c r="A46" t="s">
        <v>158</v>
      </c>
      <c r="B46" t="s">
        <v>159</v>
      </c>
      <c r="C46" t="s">
        <v>63</v>
      </c>
      <c r="D46" t="s">
        <v>78</v>
      </c>
      <c r="H46">
        <v>0.36</v>
      </c>
    </row>
    <row r="47" spans="1:9" x14ac:dyDescent="0.35">
      <c r="A47" t="s">
        <v>160</v>
      </c>
      <c r="B47" t="s">
        <v>77</v>
      </c>
      <c r="C47" t="s">
        <v>63</v>
      </c>
      <c r="D47" t="s">
        <v>64</v>
      </c>
      <c r="H47" s="10">
        <v>7.22</v>
      </c>
    </row>
    <row r="48" spans="1:9" x14ac:dyDescent="0.35">
      <c r="A48" t="s">
        <v>161</v>
      </c>
      <c r="B48" t="s">
        <v>162</v>
      </c>
      <c r="C48" t="s">
        <v>63</v>
      </c>
      <c r="D48" t="s">
        <v>64</v>
      </c>
      <c r="E48">
        <v>2.69</v>
      </c>
      <c r="G48">
        <v>17.79</v>
      </c>
    </row>
    <row r="49" spans="1:9" x14ac:dyDescent="0.35">
      <c r="A49" t="s">
        <v>165</v>
      </c>
      <c r="B49" t="s">
        <v>166</v>
      </c>
      <c r="C49" t="s">
        <v>63</v>
      </c>
      <c r="D49" t="s">
        <v>64</v>
      </c>
      <c r="E49">
        <v>0.98</v>
      </c>
    </row>
    <row r="50" spans="1:9" x14ac:dyDescent="0.35">
      <c r="A50" t="s">
        <v>169</v>
      </c>
      <c r="B50" t="s">
        <v>170</v>
      </c>
      <c r="C50" t="s">
        <v>86</v>
      </c>
      <c r="D50" t="s">
        <v>78</v>
      </c>
      <c r="E50">
        <v>3.77</v>
      </c>
      <c r="G50">
        <v>6.82</v>
      </c>
      <c r="H50">
        <v>0.19</v>
      </c>
    </row>
    <row r="51" spans="1:9" x14ac:dyDescent="0.35">
      <c r="A51" t="s">
        <v>171</v>
      </c>
      <c r="B51" t="s">
        <v>172</v>
      </c>
      <c r="C51" t="s">
        <v>63</v>
      </c>
      <c r="D51" t="s">
        <v>64</v>
      </c>
      <c r="F51">
        <v>4.28</v>
      </c>
      <c r="I51">
        <v>0.92</v>
      </c>
    </row>
    <row r="52" spans="1:9" x14ac:dyDescent="0.35">
      <c r="A52" t="s">
        <v>173</v>
      </c>
      <c r="B52" t="s">
        <v>174</v>
      </c>
      <c r="C52" t="s">
        <v>63</v>
      </c>
      <c r="D52" t="s">
        <v>64</v>
      </c>
      <c r="H52">
        <v>17.64</v>
      </c>
    </row>
    <row r="53" spans="1:9" x14ac:dyDescent="0.35">
      <c r="A53" t="s">
        <v>177</v>
      </c>
      <c r="B53" t="s">
        <v>178</v>
      </c>
      <c r="C53" t="s">
        <v>63</v>
      </c>
      <c r="D53" t="s">
        <v>64</v>
      </c>
      <c r="F53">
        <v>4.22</v>
      </c>
      <c r="H53">
        <v>2.39</v>
      </c>
      <c r="I53">
        <v>4.8499999999999996</v>
      </c>
    </row>
    <row r="54" spans="1:9" x14ac:dyDescent="0.35">
      <c r="A54" t="s">
        <v>179</v>
      </c>
      <c r="B54" t="s">
        <v>180</v>
      </c>
      <c r="C54" t="s">
        <v>63</v>
      </c>
      <c r="D54" t="s">
        <v>64</v>
      </c>
      <c r="E54">
        <v>5.45</v>
      </c>
      <c r="F54">
        <v>4.84</v>
      </c>
      <c r="G54">
        <v>9.4600000000000009</v>
      </c>
      <c r="H54">
        <v>0.84</v>
      </c>
      <c r="I54">
        <v>1.93</v>
      </c>
    </row>
    <row r="55" spans="1:9" x14ac:dyDescent="0.35">
      <c r="A55" t="s">
        <v>181</v>
      </c>
      <c r="B55" t="s">
        <v>182</v>
      </c>
      <c r="C55" t="s">
        <v>86</v>
      </c>
      <c r="D55" t="s">
        <v>64</v>
      </c>
      <c r="H55">
        <v>1.79</v>
      </c>
    </row>
    <row r="56" spans="1:9" x14ac:dyDescent="0.35">
      <c r="A56" t="s">
        <v>183</v>
      </c>
      <c r="B56" t="s">
        <v>184</v>
      </c>
      <c r="C56" t="s">
        <v>86</v>
      </c>
      <c r="D56" t="s">
        <v>64</v>
      </c>
      <c r="E56">
        <v>1.28</v>
      </c>
      <c r="G56">
        <v>2.1</v>
      </c>
    </row>
    <row r="57" spans="1:9" x14ac:dyDescent="0.35">
      <c r="A57" t="s">
        <v>185</v>
      </c>
      <c r="B57" t="s">
        <v>186</v>
      </c>
      <c r="C57" t="s">
        <v>63</v>
      </c>
      <c r="D57" t="s">
        <v>64</v>
      </c>
      <c r="E57">
        <v>4.04</v>
      </c>
    </row>
    <row r="58" spans="1:9" x14ac:dyDescent="0.35">
      <c r="A58" t="s">
        <v>187</v>
      </c>
      <c r="B58" t="s">
        <v>188</v>
      </c>
      <c r="C58" t="s">
        <v>63</v>
      </c>
      <c r="D58" t="s">
        <v>64</v>
      </c>
      <c r="E58">
        <v>3.47</v>
      </c>
      <c r="G58">
        <v>5.24</v>
      </c>
    </row>
    <row r="59" spans="1:9" x14ac:dyDescent="0.35">
      <c r="A59" t="s">
        <v>189</v>
      </c>
      <c r="B59" t="s">
        <v>190</v>
      </c>
      <c r="C59" t="s">
        <v>63</v>
      </c>
      <c r="D59" t="s">
        <v>78</v>
      </c>
      <c r="H59" s="10">
        <v>4.57</v>
      </c>
    </row>
    <row r="60" spans="1:9" x14ac:dyDescent="0.35">
      <c r="A60" t="s">
        <v>191</v>
      </c>
      <c r="B60" t="s">
        <v>135</v>
      </c>
      <c r="C60" t="s">
        <v>63</v>
      </c>
      <c r="D60" t="s">
        <v>64</v>
      </c>
      <c r="F60">
        <v>34.21</v>
      </c>
    </row>
    <row r="61" spans="1:9" x14ac:dyDescent="0.35">
      <c r="A61" t="s">
        <v>192</v>
      </c>
      <c r="B61" t="s">
        <v>193</v>
      </c>
      <c r="C61" t="s">
        <v>63</v>
      </c>
      <c r="D61" t="s">
        <v>78</v>
      </c>
      <c r="G61">
        <v>49.51</v>
      </c>
    </row>
    <row r="62" spans="1:9" x14ac:dyDescent="0.35">
      <c r="A62" t="s">
        <v>194</v>
      </c>
      <c r="B62" t="s">
        <v>135</v>
      </c>
      <c r="C62" t="s">
        <v>63</v>
      </c>
      <c r="D62" t="s">
        <v>64</v>
      </c>
      <c r="F62">
        <v>3.35</v>
      </c>
      <c r="I62">
        <v>1.36</v>
      </c>
    </row>
    <row r="63" spans="1:9" x14ac:dyDescent="0.35">
      <c r="A63" t="s">
        <v>195</v>
      </c>
      <c r="B63" t="s">
        <v>135</v>
      </c>
      <c r="C63" t="s">
        <v>63</v>
      </c>
      <c r="D63" t="s">
        <v>64</v>
      </c>
      <c r="F63">
        <v>14.23</v>
      </c>
    </row>
    <row r="64" spans="1:9" x14ac:dyDescent="0.35">
      <c r="A64" t="s">
        <v>196</v>
      </c>
      <c r="B64" t="s">
        <v>197</v>
      </c>
      <c r="C64" t="s">
        <v>63</v>
      </c>
      <c r="D64" t="s">
        <v>64</v>
      </c>
      <c r="F64">
        <v>24.83</v>
      </c>
      <c r="I64">
        <v>0.48</v>
      </c>
    </row>
    <row r="65" spans="1:9" x14ac:dyDescent="0.35">
      <c r="A65" t="s">
        <v>198</v>
      </c>
      <c r="B65" t="s">
        <v>199</v>
      </c>
      <c r="C65" t="s">
        <v>63</v>
      </c>
      <c r="D65" t="s">
        <v>64</v>
      </c>
      <c r="H65">
        <v>4.01</v>
      </c>
    </row>
    <row r="66" spans="1:9" x14ac:dyDescent="0.35">
      <c r="A66" t="s">
        <v>200</v>
      </c>
      <c r="B66" t="s">
        <v>201</v>
      </c>
      <c r="C66" t="s">
        <v>63</v>
      </c>
      <c r="D66" t="s">
        <v>64</v>
      </c>
      <c r="H66">
        <v>2.62</v>
      </c>
    </row>
    <row r="67" spans="1:9" x14ac:dyDescent="0.35">
      <c r="A67" t="s">
        <v>202</v>
      </c>
      <c r="B67" t="s">
        <v>203</v>
      </c>
      <c r="C67" t="s">
        <v>63</v>
      </c>
      <c r="D67" t="s">
        <v>64</v>
      </c>
      <c r="I67">
        <v>1.72</v>
      </c>
    </row>
    <row r="68" spans="1:9" x14ac:dyDescent="0.35">
      <c r="A68" t="s">
        <v>204</v>
      </c>
      <c r="B68" t="s">
        <v>75</v>
      </c>
      <c r="C68" t="s">
        <v>86</v>
      </c>
      <c r="D68" t="s">
        <v>64</v>
      </c>
      <c r="H68">
        <v>3.47</v>
      </c>
    </row>
    <row r="69" spans="1:9" x14ac:dyDescent="0.35">
      <c r="A69" t="s">
        <v>205</v>
      </c>
      <c r="B69" t="s">
        <v>77</v>
      </c>
      <c r="C69" t="s">
        <v>63</v>
      </c>
      <c r="D69" t="s">
        <v>109</v>
      </c>
      <c r="H69">
        <v>1.31</v>
      </c>
    </row>
    <row r="70" spans="1:9" x14ac:dyDescent="0.35">
      <c r="A70" t="s">
        <v>206</v>
      </c>
      <c r="B70" t="s">
        <v>77</v>
      </c>
      <c r="C70" t="s">
        <v>63</v>
      </c>
      <c r="D70" t="s">
        <v>64</v>
      </c>
      <c r="H70">
        <v>0.81</v>
      </c>
    </row>
    <row r="71" spans="1:9" x14ac:dyDescent="0.35">
      <c r="A71" t="s">
        <v>207</v>
      </c>
      <c r="B71" t="s">
        <v>77</v>
      </c>
      <c r="C71" t="s">
        <v>63</v>
      </c>
      <c r="D71" t="s">
        <v>64</v>
      </c>
      <c r="H71">
        <v>6.93</v>
      </c>
    </row>
    <row r="72" spans="1:9" x14ac:dyDescent="0.35">
      <c r="A72" t="s">
        <v>210</v>
      </c>
      <c r="B72" t="s">
        <v>77</v>
      </c>
      <c r="C72" t="s">
        <v>63</v>
      </c>
      <c r="D72" t="s">
        <v>64</v>
      </c>
      <c r="H72">
        <v>0.16</v>
      </c>
    </row>
    <row r="73" spans="1:9" x14ac:dyDescent="0.35">
      <c r="A73" t="s">
        <v>215</v>
      </c>
      <c r="B73" t="s">
        <v>216</v>
      </c>
      <c r="C73" t="s">
        <v>63</v>
      </c>
      <c r="D73" t="s">
        <v>64</v>
      </c>
      <c r="F73">
        <v>1.28</v>
      </c>
    </row>
    <row r="74" spans="1:9" x14ac:dyDescent="0.35">
      <c r="A74" t="s">
        <v>217</v>
      </c>
      <c r="B74" t="s">
        <v>216</v>
      </c>
      <c r="C74" t="s">
        <v>63</v>
      </c>
      <c r="D74" t="s">
        <v>64</v>
      </c>
      <c r="F74">
        <v>3.5</v>
      </c>
      <c r="I74">
        <v>1.37</v>
      </c>
    </row>
    <row r="75" spans="1:9" x14ac:dyDescent="0.35">
      <c r="A75" t="s">
        <v>218</v>
      </c>
      <c r="B75" t="s">
        <v>219</v>
      </c>
      <c r="C75" t="s">
        <v>63</v>
      </c>
      <c r="D75" t="s">
        <v>64</v>
      </c>
      <c r="H75">
        <v>6.26</v>
      </c>
    </row>
    <row r="76" spans="1:9" x14ac:dyDescent="0.35">
      <c r="A76" t="s">
        <v>221</v>
      </c>
      <c r="B76" t="s">
        <v>222</v>
      </c>
      <c r="C76" t="s">
        <v>63</v>
      </c>
      <c r="D76" t="s">
        <v>64</v>
      </c>
      <c r="F76">
        <v>1.4</v>
      </c>
      <c r="H76">
        <v>0.98</v>
      </c>
      <c r="I76">
        <v>0.49</v>
      </c>
    </row>
    <row r="77" spans="1:9" x14ac:dyDescent="0.35">
      <c r="A77" t="s">
        <v>223</v>
      </c>
      <c r="B77" t="s">
        <v>224</v>
      </c>
      <c r="C77" t="s">
        <v>63</v>
      </c>
      <c r="D77" t="s">
        <v>64</v>
      </c>
      <c r="H77">
        <v>1.1000000000000001</v>
      </c>
    </row>
    <row r="78" spans="1:9" x14ac:dyDescent="0.35">
      <c r="A78" t="s">
        <v>226</v>
      </c>
      <c r="B78" t="s">
        <v>135</v>
      </c>
      <c r="C78" t="s">
        <v>63</v>
      </c>
      <c r="D78" t="s">
        <v>64</v>
      </c>
      <c r="F78">
        <v>6.53</v>
      </c>
      <c r="I78">
        <v>0.73</v>
      </c>
    </row>
    <row r="79" spans="1:9" x14ac:dyDescent="0.35">
      <c r="A79" t="s">
        <v>227</v>
      </c>
      <c r="B79" t="s">
        <v>228</v>
      </c>
      <c r="C79" t="s">
        <v>63</v>
      </c>
      <c r="D79" t="s">
        <v>64</v>
      </c>
      <c r="F79">
        <v>2.5099999999999998</v>
      </c>
      <c r="H79" s="10"/>
      <c r="I79">
        <v>1.33</v>
      </c>
    </row>
    <row r="80" spans="1:9" x14ac:dyDescent="0.35">
      <c r="A80" t="s">
        <v>231</v>
      </c>
      <c r="B80" t="s">
        <v>135</v>
      </c>
      <c r="C80" t="s">
        <v>63</v>
      </c>
      <c r="D80" t="s">
        <v>64</v>
      </c>
      <c r="I80">
        <v>2.48</v>
      </c>
    </row>
    <row r="81" spans="1:9" x14ac:dyDescent="0.35">
      <c r="A81" t="s">
        <v>232</v>
      </c>
      <c r="B81" t="s">
        <v>233</v>
      </c>
      <c r="C81" t="s">
        <v>63</v>
      </c>
      <c r="D81" t="s">
        <v>64</v>
      </c>
      <c r="H81">
        <v>0.45</v>
      </c>
    </row>
    <row r="82" spans="1:9" x14ac:dyDescent="0.35">
      <c r="A82" t="s">
        <v>234</v>
      </c>
      <c r="B82" t="s">
        <v>93</v>
      </c>
      <c r="C82" t="s">
        <v>63</v>
      </c>
      <c r="D82" t="s">
        <v>64</v>
      </c>
      <c r="H82">
        <v>0.86</v>
      </c>
    </row>
    <row r="83" spans="1:9" x14ac:dyDescent="0.35">
      <c r="A83" t="s">
        <v>235</v>
      </c>
      <c r="B83" t="s">
        <v>236</v>
      </c>
      <c r="C83" t="s">
        <v>63</v>
      </c>
      <c r="D83" t="s">
        <v>237</v>
      </c>
      <c r="E83">
        <v>1.27</v>
      </c>
    </row>
    <row r="84" spans="1:9" x14ac:dyDescent="0.35">
      <c r="A84" t="s">
        <v>239</v>
      </c>
      <c r="B84" t="s">
        <v>240</v>
      </c>
      <c r="C84" t="s">
        <v>63</v>
      </c>
      <c r="D84" t="s">
        <v>64</v>
      </c>
      <c r="H84" s="10">
        <v>1.81</v>
      </c>
    </row>
    <row r="85" spans="1:9" x14ac:dyDescent="0.35">
      <c r="A85" t="s">
        <v>241</v>
      </c>
      <c r="B85" t="s">
        <v>242</v>
      </c>
      <c r="C85" t="s">
        <v>63</v>
      </c>
      <c r="D85" t="s">
        <v>64</v>
      </c>
      <c r="H85">
        <v>4.2699999999999996</v>
      </c>
    </row>
    <row r="86" spans="1:9" x14ac:dyDescent="0.35">
      <c r="A86" t="s">
        <v>243</v>
      </c>
      <c r="B86" t="s">
        <v>244</v>
      </c>
      <c r="C86" t="s">
        <v>63</v>
      </c>
      <c r="D86" t="s">
        <v>64</v>
      </c>
      <c r="E86">
        <v>2.57</v>
      </c>
      <c r="F86">
        <v>0.2</v>
      </c>
      <c r="G86">
        <v>5.14</v>
      </c>
      <c r="H86">
        <v>0.05</v>
      </c>
      <c r="I86">
        <v>0.76</v>
      </c>
    </row>
    <row r="87" spans="1:9" x14ac:dyDescent="0.35">
      <c r="A87" t="s">
        <v>245</v>
      </c>
      <c r="B87" t="s">
        <v>68</v>
      </c>
      <c r="C87" t="s">
        <v>63</v>
      </c>
      <c r="D87" t="s">
        <v>64</v>
      </c>
      <c r="F87" s="10"/>
      <c r="H87">
        <v>2.78</v>
      </c>
    </row>
    <row r="88" spans="1:9" x14ac:dyDescent="0.35">
      <c r="A88" t="s">
        <v>246</v>
      </c>
      <c r="B88" t="s">
        <v>247</v>
      </c>
      <c r="C88" t="s">
        <v>63</v>
      </c>
      <c r="D88" t="s">
        <v>64</v>
      </c>
      <c r="E88">
        <v>3.53</v>
      </c>
      <c r="I88" s="10"/>
    </row>
    <row r="89" spans="1:9" x14ac:dyDescent="0.35">
      <c r="A89" t="s">
        <v>248</v>
      </c>
      <c r="B89" t="s">
        <v>68</v>
      </c>
      <c r="C89" t="s">
        <v>63</v>
      </c>
      <c r="D89" t="s">
        <v>64</v>
      </c>
      <c r="H89">
        <v>3.98</v>
      </c>
    </row>
    <row r="90" spans="1:9" x14ac:dyDescent="0.35">
      <c r="A90" t="s">
        <v>249</v>
      </c>
      <c r="B90" t="s">
        <v>250</v>
      </c>
      <c r="C90" t="s">
        <v>63</v>
      </c>
      <c r="D90" t="s">
        <v>64</v>
      </c>
      <c r="H90">
        <v>2.0099999999999998</v>
      </c>
    </row>
    <row r="91" spans="1:9" x14ac:dyDescent="0.35">
      <c r="A91" t="s">
        <v>251</v>
      </c>
      <c r="B91" t="s">
        <v>129</v>
      </c>
      <c r="C91" t="s">
        <v>63</v>
      </c>
      <c r="D91" t="s">
        <v>64</v>
      </c>
      <c r="H91">
        <v>1.45</v>
      </c>
    </row>
    <row r="92" spans="1:9" x14ac:dyDescent="0.35">
      <c r="A92" t="s">
        <v>252</v>
      </c>
      <c r="B92" t="s">
        <v>77</v>
      </c>
      <c r="C92" t="s">
        <v>63</v>
      </c>
      <c r="D92" t="s">
        <v>64</v>
      </c>
      <c r="I92">
        <v>2.3199999999999998</v>
      </c>
    </row>
    <row r="93" spans="1:9" x14ac:dyDescent="0.35">
      <c r="A93" t="s">
        <v>253</v>
      </c>
      <c r="B93" t="s">
        <v>254</v>
      </c>
      <c r="C93" t="s">
        <v>63</v>
      </c>
      <c r="D93" t="s">
        <v>64</v>
      </c>
      <c r="F93">
        <v>2.38</v>
      </c>
      <c r="I93">
        <v>2.7</v>
      </c>
    </row>
    <row r="94" spans="1:9" x14ac:dyDescent="0.35">
      <c r="A94" t="s">
        <v>255</v>
      </c>
      <c r="B94" t="s">
        <v>256</v>
      </c>
      <c r="C94" t="s">
        <v>63</v>
      </c>
      <c r="D94" t="s">
        <v>64</v>
      </c>
      <c r="E94">
        <v>0.97</v>
      </c>
    </row>
    <row r="95" spans="1:9" x14ac:dyDescent="0.35">
      <c r="A95" t="s">
        <v>257</v>
      </c>
      <c r="B95" t="s">
        <v>256</v>
      </c>
      <c r="C95" t="s">
        <v>63</v>
      </c>
      <c r="D95" t="s">
        <v>64</v>
      </c>
      <c r="F95">
        <v>10.76</v>
      </c>
      <c r="I95">
        <v>2.75</v>
      </c>
    </row>
    <row r="96" spans="1:9" x14ac:dyDescent="0.35">
      <c r="A96" t="s">
        <v>258</v>
      </c>
      <c r="B96" t="s">
        <v>259</v>
      </c>
      <c r="C96" t="s">
        <v>63</v>
      </c>
      <c r="D96" t="s">
        <v>64</v>
      </c>
      <c r="F96">
        <v>15.17</v>
      </c>
    </row>
    <row r="97" spans="1:9" x14ac:dyDescent="0.35">
      <c r="A97" t="s">
        <v>260</v>
      </c>
      <c r="B97" t="s">
        <v>77</v>
      </c>
      <c r="C97" t="s">
        <v>63</v>
      </c>
      <c r="D97" t="s">
        <v>64</v>
      </c>
      <c r="G97">
        <v>16.75</v>
      </c>
    </row>
    <row r="98" spans="1:9" x14ac:dyDescent="0.35">
      <c r="A98" t="s">
        <v>264</v>
      </c>
      <c r="B98" t="s">
        <v>265</v>
      </c>
      <c r="C98" t="s">
        <v>63</v>
      </c>
      <c r="D98" t="s">
        <v>64</v>
      </c>
      <c r="E98">
        <v>1.69</v>
      </c>
      <c r="G98">
        <v>4.42</v>
      </c>
    </row>
    <row r="99" spans="1:9" x14ac:dyDescent="0.35">
      <c r="A99" t="s">
        <v>266</v>
      </c>
      <c r="B99" t="s">
        <v>267</v>
      </c>
      <c r="C99" t="s">
        <v>63</v>
      </c>
      <c r="D99" t="s">
        <v>64</v>
      </c>
      <c r="F99">
        <v>1.3</v>
      </c>
      <c r="H99">
        <v>0.66</v>
      </c>
    </row>
    <row r="100" spans="1:9" x14ac:dyDescent="0.35">
      <c r="A100" t="s">
        <v>268</v>
      </c>
      <c r="B100" t="s">
        <v>77</v>
      </c>
      <c r="C100" t="s">
        <v>63</v>
      </c>
      <c r="D100" t="s">
        <v>64</v>
      </c>
      <c r="H100">
        <v>6.01</v>
      </c>
    </row>
    <row r="101" spans="1:9" x14ac:dyDescent="0.35">
      <c r="A101" t="s">
        <v>271</v>
      </c>
      <c r="B101" t="s">
        <v>272</v>
      </c>
      <c r="C101" t="s">
        <v>63</v>
      </c>
      <c r="D101" t="s">
        <v>64</v>
      </c>
      <c r="F101">
        <v>2.5499999999999998</v>
      </c>
      <c r="H101">
        <v>1.31</v>
      </c>
      <c r="I101">
        <v>3.86</v>
      </c>
    </row>
    <row r="102" spans="1:9" x14ac:dyDescent="0.35">
      <c r="A102" t="s">
        <v>273</v>
      </c>
      <c r="B102" t="s">
        <v>93</v>
      </c>
      <c r="C102" t="s">
        <v>63</v>
      </c>
      <c r="D102" t="s">
        <v>64</v>
      </c>
      <c r="H102">
        <v>2.87</v>
      </c>
    </row>
    <row r="103" spans="1:9" x14ac:dyDescent="0.35">
      <c r="A103" t="s">
        <v>274</v>
      </c>
      <c r="B103" t="s">
        <v>135</v>
      </c>
      <c r="C103" t="s">
        <v>63</v>
      </c>
      <c r="D103" t="s">
        <v>64</v>
      </c>
      <c r="H103">
        <v>2.17</v>
      </c>
    </row>
    <row r="104" spans="1:9" x14ac:dyDescent="0.35">
      <c r="A104" t="s">
        <v>275</v>
      </c>
      <c r="B104" t="s">
        <v>135</v>
      </c>
      <c r="C104" t="s">
        <v>63</v>
      </c>
      <c r="D104" t="s">
        <v>64</v>
      </c>
      <c r="E104">
        <v>2.37</v>
      </c>
      <c r="F104">
        <v>0.28999999999999998</v>
      </c>
      <c r="G104">
        <v>7.48</v>
      </c>
      <c r="H104">
        <v>0.45</v>
      </c>
      <c r="I104">
        <v>0.09</v>
      </c>
    </row>
    <row r="105" spans="1:9" x14ac:dyDescent="0.35">
      <c r="A105" t="s">
        <v>279</v>
      </c>
      <c r="B105" t="s">
        <v>77</v>
      </c>
      <c r="C105" t="s">
        <v>63</v>
      </c>
      <c r="D105" t="s">
        <v>78</v>
      </c>
      <c r="H105">
        <v>8.36</v>
      </c>
    </row>
    <row r="106" spans="1:9" x14ac:dyDescent="0.35">
      <c r="A106" t="s">
        <v>280</v>
      </c>
      <c r="B106" t="s">
        <v>244</v>
      </c>
      <c r="C106" t="s">
        <v>63</v>
      </c>
      <c r="D106" t="s">
        <v>64</v>
      </c>
      <c r="E106">
        <v>2.0099999999999998</v>
      </c>
      <c r="H106" s="10">
        <v>0.13</v>
      </c>
    </row>
    <row r="107" spans="1:9" x14ac:dyDescent="0.35">
      <c r="A107" t="s">
        <v>281</v>
      </c>
      <c r="B107" t="s">
        <v>77</v>
      </c>
      <c r="C107" t="s">
        <v>86</v>
      </c>
      <c r="D107" t="s">
        <v>64</v>
      </c>
      <c r="H107">
        <v>17.510000000000002</v>
      </c>
    </row>
    <row r="108" spans="1:9" x14ac:dyDescent="0.35">
      <c r="A108" t="s">
        <v>282</v>
      </c>
      <c r="B108" t="s">
        <v>135</v>
      </c>
      <c r="C108" t="s">
        <v>63</v>
      </c>
      <c r="D108" t="s">
        <v>64</v>
      </c>
      <c r="E108">
        <v>3.21</v>
      </c>
    </row>
    <row r="109" spans="1:9" x14ac:dyDescent="0.35">
      <c r="A109" t="s">
        <v>283</v>
      </c>
      <c r="B109" t="s">
        <v>284</v>
      </c>
      <c r="C109" t="s">
        <v>63</v>
      </c>
      <c r="D109" t="s">
        <v>64</v>
      </c>
      <c r="H109">
        <v>2.38</v>
      </c>
    </row>
    <row r="110" spans="1:9" x14ac:dyDescent="0.35">
      <c r="A110" t="s">
        <v>285</v>
      </c>
      <c r="B110" t="s">
        <v>77</v>
      </c>
      <c r="C110" t="s">
        <v>63</v>
      </c>
      <c r="D110" t="s">
        <v>64</v>
      </c>
      <c r="E110">
        <v>3.99</v>
      </c>
      <c r="G110">
        <v>7.38</v>
      </c>
    </row>
    <row r="111" spans="1:9" x14ac:dyDescent="0.35">
      <c r="A111" t="s">
        <v>286</v>
      </c>
      <c r="B111" t="s">
        <v>287</v>
      </c>
      <c r="C111" t="s">
        <v>63</v>
      </c>
      <c r="D111" t="s">
        <v>64</v>
      </c>
      <c r="H111">
        <v>0.98</v>
      </c>
    </row>
    <row r="112" spans="1:9" x14ac:dyDescent="0.35">
      <c r="A112" t="s">
        <v>288</v>
      </c>
      <c r="B112" t="s">
        <v>289</v>
      </c>
      <c r="C112" t="s">
        <v>63</v>
      </c>
      <c r="D112" t="s">
        <v>78</v>
      </c>
      <c r="E112">
        <v>2.0699999999999998</v>
      </c>
      <c r="F112">
        <v>0.98</v>
      </c>
      <c r="I112">
        <v>0.37</v>
      </c>
    </row>
    <row r="113" spans="1:9" x14ac:dyDescent="0.35">
      <c r="A113" t="s">
        <v>291</v>
      </c>
      <c r="B113" t="s">
        <v>199</v>
      </c>
      <c r="C113" t="s">
        <v>63</v>
      </c>
      <c r="D113" t="s">
        <v>64</v>
      </c>
      <c r="H113">
        <v>53.54</v>
      </c>
    </row>
    <row r="114" spans="1:9" x14ac:dyDescent="0.35">
      <c r="A114" t="s">
        <v>292</v>
      </c>
      <c r="B114" t="s">
        <v>77</v>
      </c>
      <c r="C114" t="s">
        <v>63</v>
      </c>
      <c r="D114" t="s">
        <v>78</v>
      </c>
      <c r="H114">
        <v>0.51</v>
      </c>
    </row>
    <row r="115" spans="1:9" x14ac:dyDescent="0.35">
      <c r="A115" t="s">
        <v>293</v>
      </c>
      <c r="B115" t="s">
        <v>180</v>
      </c>
      <c r="C115" t="s">
        <v>63</v>
      </c>
      <c r="D115" t="s">
        <v>64</v>
      </c>
      <c r="E115">
        <v>2.9</v>
      </c>
      <c r="F115">
        <v>2.96</v>
      </c>
      <c r="G115">
        <v>5.3</v>
      </c>
      <c r="I115">
        <v>1.85</v>
      </c>
    </row>
    <row r="116" spans="1:9" x14ac:dyDescent="0.35">
      <c r="A116" t="s">
        <v>294</v>
      </c>
      <c r="B116" t="s">
        <v>170</v>
      </c>
      <c r="C116" t="s">
        <v>63</v>
      </c>
      <c r="D116" t="s">
        <v>78</v>
      </c>
      <c r="E116">
        <v>1.94</v>
      </c>
      <c r="G116">
        <v>3.24</v>
      </c>
    </row>
    <row r="117" spans="1:9" x14ac:dyDescent="0.35">
      <c r="A117" t="s">
        <v>295</v>
      </c>
      <c r="B117" t="s">
        <v>77</v>
      </c>
      <c r="C117" t="s">
        <v>63</v>
      </c>
      <c r="D117" t="s">
        <v>64</v>
      </c>
      <c r="E117">
        <v>1.22</v>
      </c>
      <c r="F117">
        <v>0</v>
      </c>
      <c r="G117">
        <v>5.6</v>
      </c>
    </row>
    <row r="118" spans="1:9" x14ac:dyDescent="0.35">
      <c r="A118" t="s">
        <v>296</v>
      </c>
      <c r="B118" t="s">
        <v>297</v>
      </c>
      <c r="C118" t="s">
        <v>63</v>
      </c>
      <c r="D118" t="s">
        <v>64</v>
      </c>
      <c r="E118">
        <v>1.4</v>
      </c>
      <c r="G118">
        <v>2.29</v>
      </c>
    </row>
    <row r="119" spans="1:9" x14ac:dyDescent="0.35">
      <c r="A119" t="s">
        <v>298</v>
      </c>
      <c r="B119" t="s">
        <v>299</v>
      </c>
      <c r="C119" t="s">
        <v>63</v>
      </c>
      <c r="D119" t="s">
        <v>78</v>
      </c>
      <c r="F119">
        <v>3.69</v>
      </c>
      <c r="I119">
        <v>4.6399999999999997</v>
      </c>
    </row>
    <row r="120" spans="1:9" x14ac:dyDescent="0.35">
      <c r="A120" t="s">
        <v>300</v>
      </c>
      <c r="B120" t="s">
        <v>77</v>
      </c>
      <c r="C120" t="s">
        <v>63</v>
      </c>
      <c r="D120" t="s">
        <v>64</v>
      </c>
      <c r="H120">
        <v>1.7</v>
      </c>
    </row>
    <row r="121" spans="1:9" x14ac:dyDescent="0.35">
      <c r="A121" t="s">
        <v>301</v>
      </c>
      <c r="B121" t="s">
        <v>77</v>
      </c>
      <c r="C121" t="s">
        <v>63</v>
      </c>
      <c r="D121" t="s">
        <v>64</v>
      </c>
      <c r="H121">
        <v>9.11</v>
      </c>
    </row>
    <row r="122" spans="1:9" x14ac:dyDescent="0.35">
      <c r="A122" t="s">
        <v>302</v>
      </c>
      <c r="B122" t="s">
        <v>303</v>
      </c>
      <c r="C122" t="s">
        <v>63</v>
      </c>
      <c r="D122" t="s">
        <v>64</v>
      </c>
      <c r="E122">
        <v>2.8</v>
      </c>
      <c r="G122">
        <v>16.39</v>
      </c>
    </row>
    <row r="123" spans="1:9" x14ac:dyDescent="0.35">
      <c r="A123" t="s">
        <v>304</v>
      </c>
      <c r="B123" t="s">
        <v>305</v>
      </c>
      <c r="C123" t="s">
        <v>63</v>
      </c>
      <c r="D123" t="s">
        <v>64</v>
      </c>
      <c r="H123">
        <v>8.3000000000000007</v>
      </c>
    </row>
    <row r="124" spans="1:9" x14ac:dyDescent="0.35">
      <c r="A124" t="s">
        <v>306</v>
      </c>
      <c r="B124" t="s">
        <v>307</v>
      </c>
      <c r="C124" t="s">
        <v>86</v>
      </c>
      <c r="D124" t="s">
        <v>78</v>
      </c>
      <c r="E124">
        <v>1.75</v>
      </c>
      <c r="G124">
        <v>2.97</v>
      </c>
    </row>
    <row r="125" spans="1:9" x14ac:dyDescent="0.35">
      <c r="A125" t="s">
        <v>308</v>
      </c>
      <c r="B125" t="s">
        <v>309</v>
      </c>
      <c r="C125" t="s">
        <v>63</v>
      </c>
      <c r="D125" t="s">
        <v>78</v>
      </c>
      <c r="E125" s="10"/>
      <c r="F125">
        <v>0.36</v>
      </c>
    </row>
    <row r="126" spans="1:9" x14ac:dyDescent="0.35">
      <c r="A126" t="s">
        <v>310</v>
      </c>
      <c r="B126" t="s">
        <v>311</v>
      </c>
      <c r="C126" t="s">
        <v>63</v>
      </c>
      <c r="D126" t="s">
        <v>64</v>
      </c>
      <c r="G126">
        <v>32.71</v>
      </c>
    </row>
    <row r="127" spans="1:9" x14ac:dyDescent="0.35">
      <c r="A127" t="s">
        <v>312</v>
      </c>
      <c r="B127" t="s">
        <v>313</v>
      </c>
      <c r="C127" t="s">
        <v>63</v>
      </c>
      <c r="D127" t="s">
        <v>64</v>
      </c>
      <c r="F127">
        <v>1.91</v>
      </c>
      <c r="H127">
        <v>4.9800000000000004</v>
      </c>
      <c r="I127">
        <v>6.79</v>
      </c>
    </row>
    <row r="128" spans="1:9" x14ac:dyDescent="0.35">
      <c r="A128" t="s">
        <v>314</v>
      </c>
      <c r="B128" t="s">
        <v>313</v>
      </c>
      <c r="C128" t="s">
        <v>63</v>
      </c>
      <c r="D128" t="s">
        <v>64</v>
      </c>
      <c r="F128">
        <v>2.1800000000000002</v>
      </c>
      <c r="G128">
        <v>51.09</v>
      </c>
      <c r="H128" s="10">
        <v>1.81</v>
      </c>
      <c r="I128">
        <v>3.93</v>
      </c>
    </row>
    <row r="129" spans="1:9" x14ac:dyDescent="0.35">
      <c r="A129" t="s">
        <v>315</v>
      </c>
      <c r="B129" t="s">
        <v>186</v>
      </c>
      <c r="C129" t="s">
        <v>63</v>
      </c>
      <c r="D129" t="s">
        <v>64</v>
      </c>
      <c r="H129">
        <v>3.44</v>
      </c>
    </row>
    <row r="130" spans="1:9" x14ac:dyDescent="0.35">
      <c r="A130" t="s">
        <v>316</v>
      </c>
      <c r="B130" t="s">
        <v>77</v>
      </c>
      <c r="C130" t="s">
        <v>63</v>
      </c>
      <c r="D130" t="s">
        <v>64</v>
      </c>
      <c r="E130">
        <v>0.9</v>
      </c>
      <c r="G130">
        <v>3.87</v>
      </c>
    </row>
    <row r="131" spans="1:9" x14ac:dyDescent="0.35">
      <c r="A131" t="s">
        <v>317</v>
      </c>
      <c r="B131" t="s">
        <v>318</v>
      </c>
      <c r="C131" t="s">
        <v>63</v>
      </c>
      <c r="D131" t="s">
        <v>64</v>
      </c>
      <c r="H131">
        <v>4.7300000000000004</v>
      </c>
    </row>
    <row r="132" spans="1:9" x14ac:dyDescent="0.35">
      <c r="A132" t="s">
        <v>322</v>
      </c>
      <c r="B132" t="s">
        <v>321</v>
      </c>
      <c r="C132" t="s">
        <v>63</v>
      </c>
      <c r="D132" t="s">
        <v>64</v>
      </c>
      <c r="I132">
        <v>1.38</v>
      </c>
    </row>
    <row r="133" spans="1:9" x14ac:dyDescent="0.35">
      <c r="A133" t="s">
        <v>323</v>
      </c>
      <c r="B133" t="s">
        <v>321</v>
      </c>
      <c r="C133" t="s">
        <v>63</v>
      </c>
      <c r="D133" t="s">
        <v>64</v>
      </c>
      <c r="F133">
        <v>3.09</v>
      </c>
      <c r="I133">
        <v>4.04</v>
      </c>
    </row>
    <row r="134" spans="1:9" x14ac:dyDescent="0.35">
      <c r="A134" t="s">
        <v>324</v>
      </c>
      <c r="B134" t="s">
        <v>325</v>
      </c>
      <c r="C134" t="s">
        <v>86</v>
      </c>
      <c r="D134" t="s">
        <v>64</v>
      </c>
      <c r="H134">
        <v>0.77</v>
      </c>
    </row>
    <row r="135" spans="1:9" x14ac:dyDescent="0.35">
      <c r="A135" t="s">
        <v>326</v>
      </c>
      <c r="B135" t="s">
        <v>180</v>
      </c>
      <c r="C135" t="s">
        <v>63</v>
      </c>
      <c r="D135" t="s">
        <v>64</v>
      </c>
      <c r="I135">
        <v>2.56</v>
      </c>
    </row>
    <row r="136" spans="1:9" x14ac:dyDescent="0.35">
      <c r="A136" t="s">
        <v>327</v>
      </c>
      <c r="B136" t="s">
        <v>313</v>
      </c>
      <c r="C136" t="s">
        <v>63</v>
      </c>
      <c r="D136" t="s">
        <v>64</v>
      </c>
      <c r="F136">
        <v>3.64</v>
      </c>
      <c r="H136">
        <v>7.49</v>
      </c>
      <c r="I136">
        <v>8.1300000000000008</v>
      </c>
    </row>
    <row r="137" spans="1:9" x14ac:dyDescent="0.35">
      <c r="A137" t="s">
        <v>328</v>
      </c>
      <c r="B137" t="s">
        <v>313</v>
      </c>
      <c r="C137" t="s">
        <v>63</v>
      </c>
      <c r="D137" t="s">
        <v>64</v>
      </c>
      <c r="F137">
        <v>2.1</v>
      </c>
      <c r="G137">
        <v>0</v>
      </c>
      <c r="H137" s="10">
        <v>2.8</v>
      </c>
      <c r="I137">
        <v>3.53</v>
      </c>
    </row>
    <row r="138" spans="1:9" x14ac:dyDescent="0.35">
      <c r="A138" t="s">
        <v>330</v>
      </c>
      <c r="B138" t="s">
        <v>77</v>
      </c>
      <c r="C138" t="s">
        <v>63</v>
      </c>
      <c r="D138" t="s">
        <v>64</v>
      </c>
      <c r="F138">
        <v>1.07</v>
      </c>
    </row>
    <row r="139" spans="1:9" x14ac:dyDescent="0.35">
      <c r="A139" t="s">
        <v>331</v>
      </c>
      <c r="B139" t="s">
        <v>332</v>
      </c>
      <c r="C139" t="s">
        <v>63</v>
      </c>
      <c r="D139" t="s">
        <v>64</v>
      </c>
      <c r="F139">
        <v>1.57</v>
      </c>
      <c r="H139">
        <v>0.65</v>
      </c>
      <c r="I139">
        <v>0.36</v>
      </c>
    </row>
    <row r="140" spans="1:9" x14ac:dyDescent="0.35">
      <c r="A140" t="s">
        <v>333</v>
      </c>
      <c r="B140" t="s">
        <v>334</v>
      </c>
      <c r="C140" t="s">
        <v>63</v>
      </c>
      <c r="D140" t="s">
        <v>64</v>
      </c>
      <c r="H140">
        <v>2.59</v>
      </c>
    </row>
    <row r="141" spans="1:9" x14ac:dyDescent="0.35">
      <c r="A141" t="s">
        <v>335</v>
      </c>
      <c r="B141" t="s">
        <v>72</v>
      </c>
      <c r="C141" t="s">
        <v>63</v>
      </c>
      <c r="D141" t="s">
        <v>73</v>
      </c>
      <c r="H141">
        <v>5.85</v>
      </c>
    </row>
    <row r="142" spans="1:9" x14ac:dyDescent="0.35">
      <c r="A142" t="s">
        <v>336</v>
      </c>
      <c r="B142" t="s">
        <v>236</v>
      </c>
      <c r="C142" t="s">
        <v>63</v>
      </c>
      <c r="D142" t="s">
        <v>237</v>
      </c>
      <c r="E142">
        <v>1.1100000000000001</v>
      </c>
      <c r="H142">
        <v>1.78</v>
      </c>
    </row>
    <row r="143" spans="1:9" x14ac:dyDescent="0.35">
      <c r="A143" t="s">
        <v>337</v>
      </c>
      <c r="B143" t="s">
        <v>338</v>
      </c>
      <c r="C143" t="s">
        <v>63</v>
      </c>
      <c r="D143" t="s">
        <v>64</v>
      </c>
      <c r="E143">
        <v>2.4500000000000002</v>
      </c>
      <c r="G143">
        <v>4.2</v>
      </c>
      <c r="H143">
        <v>0.27</v>
      </c>
      <c r="I143">
        <v>0.42</v>
      </c>
    </row>
    <row r="144" spans="1:9" x14ac:dyDescent="0.35">
      <c r="A144" t="s">
        <v>339</v>
      </c>
      <c r="B144" t="s">
        <v>172</v>
      </c>
      <c r="C144" t="s">
        <v>63</v>
      </c>
      <c r="D144" t="s">
        <v>64</v>
      </c>
      <c r="F144">
        <v>1.65</v>
      </c>
      <c r="H144">
        <v>2.88</v>
      </c>
      <c r="I144">
        <v>10.82</v>
      </c>
    </row>
    <row r="145" spans="1:9" x14ac:dyDescent="0.35">
      <c r="A145" t="s">
        <v>340</v>
      </c>
      <c r="B145" t="s">
        <v>77</v>
      </c>
      <c r="C145" t="s">
        <v>63</v>
      </c>
      <c r="D145" t="s">
        <v>64</v>
      </c>
      <c r="F145">
        <v>3.14</v>
      </c>
      <c r="H145">
        <v>0.35</v>
      </c>
      <c r="I145">
        <v>1.86</v>
      </c>
    </row>
    <row r="146" spans="1:9" x14ac:dyDescent="0.35">
      <c r="A146" t="s">
        <v>341</v>
      </c>
      <c r="B146" t="s">
        <v>135</v>
      </c>
      <c r="C146" t="s">
        <v>63</v>
      </c>
      <c r="D146" t="s">
        <v>64</v>
      </c>
      <c r="F146">
        <v>1.06</v>
      </c>
      <c r="H146">
        <v>0.87</v>
      </c>
      <c r="I146">
        <v>6.62</v>
      </c>
    </row>
    <row r="147" spans="1:9" x14ac:dyDescent="0.35">
      <c r="A147" t="s">
        <v>343</v>
      </c>
      <c r="B147" t="s">
        <v>344</v>
      </c>
      <c r="C147" t="s">
        <v>63</v>
      </c>
      <c r="D147" t="s">
        <v>64</v>
      </c>
      <c r="E147">
        <v>2.04</v>
      </c>
      <c r="G147">
        <v>18.03</v>
      </c>
    </row>
    <row r="148" spans="1:9" x14ac:dyDescent="0.35">
      <c r="A148" t="s">
        <v>347</v>
      </c>
      <c r="B148" t="s">
        <v>348</v>
      </c>
      <c r="C148" t="s">
        <v>63</v>
      </c>
      <c r="D148" t="s">
        <v>64</v>
      </c>
      <c r="H148">
        <v>0.96</v>
      </c>
    </row>
    <row r="149" spans="1:9" x14ac:dyDescent="0.35">
      <c r="A149" t="s">
        <v>349</v>
      </c>
      <c r="B149" t="s">
        <v>176</v>
      </c>
      <c r="C149" t="s">
        <v>63</v>
      </c>
      <c r="D149" t="s">
        <v>64</v>
      </c>
      <c r="E149">
        <v>2.4500000000000002</v>
      </c>
      <c r="G149">
        <v>3.32</v>
      </c>
      <c r="H149" s="10"/>
    </row>
    <row r="150" spans="1:9" x14ac:dyDescent="0.35">
      <c r="A150" t="s">
        <v>350</v>
      </c>
      <c r="B150" t="s">
        <v>351</v>
      </c>
      <c r="C150" t="s">
        <v>63</v>
      </c>
      <c r="D150" t="s">
        <v>64</v>
      </c>
      <c r="H150">
        <v>0.65</v>
      </c>
    </row>
    <row r="151" spans="1:9" x14ac:dyDescent="0.35">
      <c r="A151" t="s">
        <v>354</v>
      </c>
      <c r="B151" t="s">
        <v>355</v>
      </c>
      <c r="C151" t="s">
        <v>63</v>
      </c>
      <c r="D151" t="s">
        <v>64</v>
      </c>
      <c r="F151">
        <v>0.94</v>
      </c>
      <c r="H151">
        <v>0.35</v>
      </c>
      <c r="I151">
        <v>1.27</v>
      </c>
    </row>
    <row r="152" spans="1:9" x14ac:dyDescent="0.35">
      <c r="A152" t="s">
        <v>357</v>
      </c>
      <c r="B152" t="s">
        <v>77</v>
      </c>
      <c r="C152" t="s">
        <v>63</v>
      </c>
      <c r="D152" t="s">
        <v>78</v>
      </c>
      <c r="E152">
        <v>3.62</v>
      </c>
    </row>
    <row r="153" spans="1:9" x14ac:dyDescent="0.35">
      <c r="A153" t="s">
        <v>358</v>
      </c>
      <c r="B153" t="s">
        <v>359</v>
      </c>
      <c r="C153" t="s">
        <v>63</v>
      </c>
      <c r="D153" t="s">
        <v>64</v>
      </c>
      <c r="H153">
        <v>3.38</v>
      </c>
    </row>
    <row r="154" spans="1:9" x14ac:dyDescent="0.35">
      <c r="A154" t="s">
        <v>360</v>
      </c>
      <c r="B154" t="s">
        <v>361</v>
      </c>
      <c r="C154" t="s">
        <v>63</v>
      </c>
      <c r="D154" t="s">
        <v>78</v>
      </c>
      <c r="G154">
        <v>108.48</v>
      </c>
    </row>
    <row r="155" spans="1:9" x14ac:dyDescent="0.35">
      <c r="A155" t="s">
        <v>362</v>
      </c>
      <c r="B155" t="s">
        <v>363</v>
      </c>
      <c r="C155" t="s">
        <v>63</v>
      </c>
      <c r="D155" t="s">
        <v>64</v>
      </c>
      <c r="H155">
        <v>4.1399999999999997</v>
      </c>
    </row>
    <row r="156" spans="1:9" x14ac:dyDescent="0.35">
      <c r="A156" t="s">
        <v>366</v>
      </c>
      <c r="B156" t="s">
        <v>367</v>
      </c>
      <c r="C156" t="s">
        <v>63</v>
      </c>
      <c r="D156" t="s">
        <v>237</v>
      </c>
      <c r="H156">
        <v>2.88</v>
      </c>
    </row>
    <row r="157" spans="1:9" x14ac:dyDescent="0.35">
      <c r="A157" t="s">
        <v>368</v>
      </c>
      <c r="B157" t="s">
        <v>367</v>
      </c>
      <c r="C157" t="s">
        <v>63</v>
      </c>
      <c r="D157" t="s">
        <v>237</v>
      </c>
      <c r="H157">
        <v>1.43</v>
      </c>
    </row>
    <row r="158" spans="1:9" x14ac:dyDescent="0.35">
      <c r="A158" t="s">
        <v>369</v>
      </c>
      <c r="B158" t="s">
        <v>184</v>
      </c>
      <c r="C158" t="s">
        <v>63</v>
      </c>
      <c r="D158" t="s">
        <v>64</v>
      </c>
      <c r="E158">
        <v>2.48</v>
      </c>
      <c r="G158">
        <v>7.99</v>
      </c>
    </row>
    <row r="159" spans="1:9" x14ac:dyDescent="0.35">
      <c r="A159" t="s">
        <v>370</v>
      </c>
      <c r="B159" t="s">
        <v>170</v>
      </c>
      <c r="C159" t="s">
        <v>63</v>
      </c>
      <c r="D159" t="s">
        <v>78</v>
      </c>
      <c r="G159">
        <v>5.18</v>
      </c>
    </row>
    <row r="160" spans="1:9" x14ac:dyDescent="0.35">
      <c r="A160" t="s">
        <v>371</v>
      </c>
      <c r="B160" t="s">
        <v>77</v>
      </c>
      <c r="C160" t="s">
        <v>86</v>
      </c>
      <c r="D160" t="s">
        <v>64</v>
      </c>
      <c r="F160">
        <v>0.71</v>
      </c>
      <c r="H160">
        <v>2.9</v>
      </c>
      <c r="I160">
        <v>0.98</v>
      </c>
    </row>
    <row r="161" spans="1:9" x14ac:dyDescent="0.35">
      <c r="A161" t="s">
        <v>372</v>
      </c>
      <c r="B161" t="s">
        <v>278</v>
      </c>
      <c r="C161" t="s">
        <v>86</v>
      </c>
      <c r="D161" t="s">
        <v>64</v>
      </c>
      <c r="F161">
        <v>2.84</v>
      </c>
      <c r="G161">
        <v>5.01</v>
      </c>
      <c r="H161">
        <v>0.49</v>
      </c>
      <c r="I161">
        <v>4.2699999999999996</v>
      </c>
    </row>
    <row r="162" spans="1:9" x14ac:dyDescent="0.35">
      <c r="A162" t="s">
        <v>373</v>
      </c>
      <c r="B162" t="s">
        <v>180</v>
      </c>
      <c r="C162" t="s">
        <v>63</v>
      </c>
      <c r="D162" t="s">
        <v>64</v>
      </c>
      <c r="E162">
        <v>2.83</v>
      </c>
      <c r="F162">
        <v>1.49</v>
      </c>
      <c r="G162">
        <v>10.62</v>
      </c>
      <c r="I162">
        <v>1.62</v>
      </c>
    </row>
    <row r="163" spans="1:9" x14ac:dyDescent="0.35">
      <c r="A163" t="s">
        <v>374</v>
      </c>
      <c r="B163" t="s">
        <v>375</v>
      </c>
      <c r="C163" t="s">
        <v>63</v>
      </c>
      <c r="D163" t="s">
        <v>64</v>
      </c>
      <c r="G163">
        <v>24.13</v>
      </c>
    </row>
    <row r="164" spans="1:9" x14ac:dyDescent="0.35">
      <c r="A164" t="s">
        <v>376</v>
      </c>
      <c r="B164" t="s">
        <v>377</v>
      </c>
      <c r="C164" t="s">
        <v>63</v>
      </c>
      <c r="D164" t="s">
        <v>64</v>
      </c>
      <c r="H164">
        <v>1.99</v>
      </c>
    </row>
    <row r="165" spans="1:9" x14ac:dyDescent="0.35">
      <c r="A165" t="s">
        <v>378</v>
      </c>
      <c r="B165" t="s">
        <v>77</v>
      </c>
      <c r="C165" t="s">
        <v>63</v>
      </c>
      <c r="D165" t="s">
        <v>64</v>
      </c>
      <c r="E165">
        <v>0.56999999999999995</v>
      </c>
      <c r="I165">
        <v>0.53</v>
      </c>
    </row>
    <row r="166" spans="1:9" x14ac:dyDescent="0.35">
      <c r="A166" t="s">
        <v>380</v>
      </c>
      <c r="B166" t="s">
        <v>381</v>
      </c>
      <c r="C166" t="s">
        <v>63</v>
      </c>
      <c r="D166" t="s">
        <v>64</v>
      </c>
      <c r="E166">
        <v>3.48</v>
      </c>
      <c r="G166">
        <v>6.36</v>
      </c>
    </row>
    <row r="167" spans="1:9" x14ac:dyDescent="0.35">
      <c r="A167" t="s">
        <v>382</v>
      </c>
      <c r="B167" t="s">
        <v>383</v>
      </c>
      <c r="C167" t="s">
        <v>63</v>
      </c>
      <c r="D167" t="s">
        <v>64</v>
      </c>
      <c r="H167">
        <v>4.54</v>
      </c>
    </row>
    <row r="168" spans="1:9" x14ac:dyDescent="0.35">
      <c r="A168" t="s">
        <v>384</v>
      </c>
      <c r="B168" t="s">
        <v>385</v>
      </c>
      <c r="C168" t="s">
        <v>63</v>
      </c>
      <c r="D168" t="s">
        <v>64</v>
      </c>
      <c r="E168">
        <v>22.25</v>
      </c>
    </row>
    <row r="169" spans="1:9" x14ac:dyDescent="0.35">
      <c r="A169" t="s">
        <v>386</v>
      </c>
      <c r="B169" t="s">
        <v>387</v>
      </c>
      <c r="C169" t="s">
        <v>63</v>
      </c>
      <c r="D169" t="s">
        <v>64</v>
      </c>
      <c r="E169">
        <v>4.54</v>
      </c>
      <c r="G169">
        <v>30.11</v>
      </c>
      <c r="I169">
        <v>7.34</v>
      </c>
    </row>
    <row r="170" spans="1:9" x14ac:dyDescent="0.35">
      <c r="A170" t="s">
        <v>388</v>
      </c>
      <c r="B170" t="s">
        <v>311</v>
      </c>
      <c r="C170" t="s">
        <v>63</v>
      </c>
      <c r="D170" t="s">
        <v>64</v>
      </c>
      <c r="G170">
        <v>12.16</v>
      </c>
    </row>
    <row r="171" spans="1:9" x14ac:dyDescent="0.35">
      <c r="A171" t="s">
        <v>391</v>
      </c>
      <c r="B171" t="s">
        <v>392</v>
      </c>
      <c r="C171" t="s">
        <v>63</v>
      </c>
      <c r="D171" t="s">
        <v>78</v>
      </c>
      <c r="H171">
        <v>11.93</v>
      </c>
    </row>
    <row r="172" spans="1:9" x14ac:dyDescent="0.35">
      <c r="A172" t="s">
        <v>393</v>
      </c>
      <c r="B172" t="s">
        <v>394</v>
      </c>
      <c r="C172" t="s">
        <v>63</v>
      </c>
      <c r="D172" t="s">
        <v>64</v>
      </c>
      <c r="F172">
        <v>3.23</v>
      </c>
      <c r="I172">
        <v>1.25</v>
      </c>
    </row>
    <row r="173" spans="1:9" x14ac:dyDescent="0.35">
      <c r="A173" t="s">
        <v>395</v>
      </c>
      <c r="B173" t="s">
        <v>396</v>
      </c>
      <c r="C173" t="s">
        <v>63</v>
      </c>
      <c r="D173" t="s">
        <v>64</v>
      </c>
      <c r="E173">
        <v>12.95</v>
      </c>
    </row>
    <row r="174" spans="1:9" x14ac:dyDescent="0.35">
      <c r="A174" t="s">
        <v>399</v>
      </c>
      <c r="B174" t="s">
        <v>400</v>
      </c>
      <c r="C174" t="s">
        <v>63</v>
      </c>
      <c r="D174" t="s">
        <v>78</v>
      </c>
      <c r="H174">
        <v>0.75</v>
      </c>
    </row>
    <row r="175" spans="1:9" x14ac:dyDescent="0.35">
      <c r="A175" t="s">
        <v>403</v>
      </c>
      <c r="B175" t="s">
        <v>77</v>
      </c>
      <c r="C175" t="s">
        <v>63</v>
      </c>
      <c r="D175" t="s">
        <v>64</v>
      </c>
      <c r="F175">
        <v>5.49</v>
      </c>
      <c r="H175" s="13">
        <v>0.12</v>
      </c>
      <c r="I175">
        <v>3.67</v>
      </c>
    </row>
    <row r="176" spans="1:9" x14ac:dyDescent="0.35">
      <c r="A176" t="s">
        <v>407</v>
      </c>
      <c r="B176" t="s">
        <v>77</v>
      </c>
      <c r="C176" t="s">
        <v>63</v>
      </c>
      <c r="D176" t="s">
        <v>64</v>
      </c>
      <c r="E176">
        <v>0.52</v>
      </c>
      <c r="G176">
        <v>8.2100000000000009</v>
      </c>
      <c r="H176">
        <v>0.25</v>
      </c>
    </row>
    <row r="177" spans="1:9" x14ac:dyDescent="0.35">
      <c r="A177" t="s">
        <v>408</v>
      </c>
      <c r="B177" t="s">
        <v>409</v>
      </c>
      <c r="C177" t="s">
        <v>63</v>
      </c>
      <c r="D177" t="s">
        <v>78</v>
      </c>
      <c r="E177">
        <v>3.05</v>
      </c>
    </row>
    <row r="178" spans="1:9" x14ac:dyDescent="0.35">
      <c r="A178" t="s">
        <v>410</v>
      </c>
      <c r="B178" t="s">
        <v>411</v>
      </c>
      <c r="C178" t="s">
        <v>63</v>
      </c>
      <c r="D178" t="s">
        <v>64</v>
      </c>
      <c r="E178">
        <v>4.51</v>
      </c>
      <c r="I178">
        <v>1.94</v>
      </c>
    </row>
    <row r="179" spans="1:9" x14ac:dyDescent="0.35">
      <c r="A179" t="s">
        <v>412</v>
      </c>
      <c r="B179" t="s">
        <v>413</v>
      </c>
      <c r="C179" t="s">
        <v>63</v>
      </c>
      <c r="D179" t="s">
        <v>64</v>
      </c>
      <c r="F179">
        <v>2.76</v>
      </c>
      <c r="H179">
        <v>0.6</v>
      </c>
      <c r="I179">
        <v>4.1399999999999997</v>
      </c>
    </row>
    <row r="180" spans="1:9" x14ac:dyDescent="0.35">
      <c r="A180" t="s">
        <v>414</v>
      </c>
      <c r="B180" t="s">
        <v>413</v>
      </c>
      <c r="C180" t="s">
        <v>63</v>
      </c>
      <c r="D180" t="s">
        <v>64</v>
      </c>
      <c r="H180">
        <v>0.88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3654-66CE-48CB-8F52-57F2950F69B1}">
  <dimension ref="A1:Q16"/>
  <sheetViews>
    <sheetView topLeftCell="L1" zoomScale="50" zoomScaleNormal="50" workbookViewId="0">
      <selection activeCell="Q2" sqref="Q1:Q1048576"/>
    </sheetView>
  </sheetViews>
  <sheetFormatPr defaultRowHeight="14.5" x14ac:dyDescent="0.35"/>
  <cols>
    <col min="1" max="1" width="42.26953125" bestFit="1" customWidth="1"/>
    <col min="2" max="2" width="8.81640625" bestFit="1" customWidth="1"/>
    <col min="3" max="3" width="18.54296875" bestFit="1" customWidth="1"/>
    <col min="4" max="4" width="21.54296875" bestFit="1" customWidth="1"/>
    <col min="5" max="5" width="20.81640625" bestFit="1" customWidth="1"/>
    <col min="6" max="6" width="30.26953125" bestFit="1" customWidth="1"/>
    <col min="7" max="7" width="24.453125" bestFit="1" customWidth="1"/>
    <col min="8" max="8" width="27.54296875" bestFit="1" customWidth="1"/>
    <col min="9" max="9" width="26.1796875" bestFit="1" customWidth="1"/>
    <col min="10" max="10" width="24.81640625" bestFit="1" customWidth="1"/>
    <col min="11" max="11" width="11.7265625" bestFit="1" customWidth="1"/>
    <col min="12" max="12" width="22.453125" bestFit="1" customWidth="1"/>
    <col min="13" max="13" width="22.81640625" bestFit="1" customWidth="1"/>
    <col min="14" max="14" width="25.7265625" bestFit="1" customWidth="1"/>
    <col min="15" max="15" width="14.54296875" bestFit="1" customWidth="1"/>
    <col min="16" max="16" width="20" bestFit="1" customWidth="1"/>
    <col min="17" max="17" width="59" style="7" customWidth="1"/>
  </cols>
  <sheetData>
    <row r="1" spans="1:17" x14ac:dyDescent="0.35">
      <c r="A1" t="s">
        <v>421</v>
      </c>
      <c r="B1" t="s">
        <v>53</v>
      </c>
      <c r="C1" t="s">
        <v>422</v>
      </c>
      <c r="D1" t="s">
        <v>423</v>
      </c>
      <c r="E1" t="s">
        <v>424</v>
      </c>
      <c r="F1" t="s">
        <v>425</v>
      </c>
      <c r="G1" t="s">
        <v>426</v>
      </c>
      <c r="H1" t="s">
        <v>427</v>
      </c>
      <c r="I1" t="s">
        <v>428</v>
      </c>
      <c r="J1" t="s">
        <v>429</v>
      </c>
      <c r="K1" t="s">
        <v>430</v>
      </c>
      <c r="L1" t="s">
        <v>431</v>
      </c>
      <c r="M1" t="s">
        <v>432</v>
      </c>
      <c r="N1" t="s">
        <v>433</v>
      </c>
      <c r="O1" t="s">
        <v>434</v>
      </c>
      <c r="P1" t="s">
        <v>435</v>
      </c>
      <c r="Q1" s="7" t="s">
        <v>436</v>
      </c>
    </row>
    <row r="2" spans="1:17" ht="43.5" x14ac:dyDescent="0.35">
      <c r="A2" t="s">
        <v>123</v>
      </c>
      <c r="B2" t="s">
        <v>122</v>
      </c>
      <c r="C2" t="s">
        <v>64</v>
      </c>
      <c r="D2">
        <f>_xlfn.XLOOKUP(tblAnalysis[[#This Row],[Firm]],tblSelection[Firm Name],tblSelection[Insurance &amp; pure protection],"Not found",0)</f>
        <v>49795</v>
      </c>
      <c r="E2">
        <f>_xlfn.XLOOKUP(tblAnalysis[[#This Row],[Firm]], tblClosed[Firm Name], tblClosed[Insurance &amp; pure protection], "Not found", 0)</f>
        <v>50156</v>
      </c>
      <c r="F2">
        <f>_xlfn.XLOOKUP(tblAnalysis[[#This Row],[Firm]],tblSelection[Firm Name], tblSelection[Context A Complaints per 1,000], "Not Found", 0)</f>
        <v>2.72</v>
      </c>
      <c r="G2" s="14">
        <f>_xlfn.XLOOKUP(tblAnalysis[[#This Row],[Firm]],tbl3Day[Firm Name], tbl3Day[Insurance &amp; pure protection],"Not found", 0)</f>
        <v>0.43490000000000001</v>
      </c>
      <c r="H2" s="14">
        <f>_xlfn.XLOOKUP(tblAnalysis[[#This Row],[Firm]],tbl3to8[Firm Name], tbl3to8[Insurance &amp; pure protection], "Not found", 0)</f>
        <v>0.54179999999999995</v>
      </c>
      <c r="I2" s="14">
        <f>tblAnalysis[[#This Row],[% Closed within 3 Days]]+tblAnalysis[[#This Row],[% Closed 3 Days - 8 Weeks]]</f>
        <v>0.9766999999999999</v>
      </c>
      <c r="J2" s="14">
        <f>1-tblAnalysis[[#This Row],[% Closed within 8 Weeks]]</f>
        <v>2.3300000000000098E-2</v>
      </c>
      <c r="K2" s="14">
        <f>_xlfn.XLOOKUP(tblAnalysis[[#This Row],[Firm]],tblUpheld[Firm Name], tblUpheld[Insurance &amp; pure protection], "not found", 0)</f>
        <v>0.56269999999999998</v>
      </c>
      <c r="L2">
        <f>_xlfn.RANK.EQ(tblAnalysis[[#This Row],[Complaints per 1,000 Policies]],tblAnalysis[Complaints per 1,000 Policies],1)</f>
        <v>7</v>
      </c>
      <c r="M2">
        <f>_xlfn.RANK.EQ(tblAnalysis[[#This Row],[% Closed within 8 Weeks]],tblAnalysis[% Closed within 8 Weeks],0)</f>
        <v>6</v>
      </c>
      <c r="N2">
        <f>ROUND(AVERAGE(tblAnalysis[[#This Row],[Complaint Rate Rank]],tblAnalysis[[#This Row],[8-Week Closure Rank]]),2)</f>
        <v>6.5</v>
      </c>
      <c r="O2">
        <f>_xlfn.RANK.EQ(tblAnalysis[[#This Row],[Core Performance Score]],tblAnalysis[Core Performance Score],1)</f>
        <v>5</v>
      </c>
      <c r="P2" t="str" cm="1">
        <f t="array" ref="P2">_xlfn.IFS(tblAnalysis[[#This Row],[Overall Rank]]&lt;=5,"Higher-ranked",tblAnalysis[[#This Row],[Overall Rank]]&lt;=10,"Middle-ranked",TRUE,"Lower-ranked")</f>
        <v>Higher-ranked</v>
      </c>
      <c r="Q2" s="7" t="s">
        <v>446</v>
      </c>
    </row>
    <row r="3" spans="1:17" ht="43.5" x14ac:dyDescent="0.35">
      <c r="A3" t="s">
        <v>382</v>
      </c>
      <c r="B3" t="s">
        <v>383</v>
      </c>
      <c r="C3" t="s">
        <v>64</v>
      </c>
      <c r="D3">
        <f>_xlfn.XLOOKUP(tblAnalysis[[#This Row],[Firm]],tblSelection[Firm Name],tblSelection[Insurance &amp; pure protection],"Not found",0)</f>
        <v>37282</v>
      </c>
      <c r="E3">
        <f>_xlfn.XLOOKUP(tblAnalysis[[#This Row],[Firm]], tblClosed[Firm Name], tblClosed[Insurance &amp; pure protection], "Not found", 0)</f>
        <v>37663</v>
      </c>
      <c r="F3">
        <f>_xlfn.XLOOKUP(tblAnalysis[[#This Row],[Firm]],tblSelection[Firm Name], tblSelection[Context A Complaints per 1,000], "Not Found", 0)</f>
        <v>4.54</v>
      </c>
      <c r="G3" s="14">
        <f>_xlfn.XLOOKUP(tblAnalysis[[#This Row],[Firm]],tbl3Day[Firm Name], tbl3Day[Insurance &amp; pure protection],"Not found", 0)</f>
        <v>0.47410000000000002</v>
      </c>
      <c r="H3" s="14">
        <f>_xlfn.XLOOKUP(tblAnalysis[[#This Row],[Firm]],tbl3to8[Firm Name], tbl3to8[Insurance &amp; pure protection], "Not found", 0)</f>
        <v>0.49099999999999999</v>
      </c>
      <c r="I3" s="14">
        <f>tblAnalysis[[#This Row],[% Closed within 3 Days]]+tblAnalysis[[#This Row],[% Closed 3 Days - 8 Weeks]]</f>
        <v>0.96510000000000007</v>
      </c>
      <c r="J3" s="14">
        <f>1-tblAnalysis[[#This Row],[% Closed within 8 Weeks]]</f>
        <v>3.4899999999999931E-2</v>
      </c>
      <c r="K3" s="14">
        <f>_xlfn.XLOOKUP(tblAnalysis[[#This Row],[Firm]],tblUpheld[Firm Name], tblUpheld[Insurance &amp; pure protection], "not found", 0)</f>
        <v>0.6744</v>
      </c>
      <c r="L3">
        <f>_xlfn.RANK.EQ(tblAnalysis[[#This Row],[Complaints per 1,000 Policies]],tblAnalysis[Complaints per 1,000 Policies],1)</f>
        <v>10</v>
      </c>
      <c r="M3">
        <f>_xlfn.RANK.EQ(tblAnalysis[[#This Row],[% Closed within 8 Weeks]],tblAnalysis[% Closed within 8 Weeks],0)</f>
        <v>10</v>
      </c>
      <c r="N3">
        <f>ROUND(AVERAGE(tblAnalysis[[#This Row],[Complaint Rate Rank]],tblAnalysis[[#This Row],[8-Week Closure Rank]]),2)</f>
        <v>10</v>
      </c>
      <c r="O3">
        <f>_xlfn.RANK.EQ(tblAnalysis[[#This Row],[Core Performance Score]],tblAnalysis[Core Performance Score],1)</f>
        <v>12</v>
      </c>
      <c r="P3" t="str" cm="1">
        <f t="array" ref="P3">_xlfn.IFS(tblAnalysis[[#This Row],[Overall Rank]]&lt;=5,"Higher-ranked",tblAnalysis[[#This Row],[Overall Rank]]&lt;=10,"Middle-ranked",TRUE,"Lower-ranked")</f>
        <v>Lower-ranked</v>
      </c>
      <c r="Q3" s="7" t="s">
        <v>447</v>
      </c>
    </row>
    <row r="4" spans="1:17" ht="43.5" x14ac:dyDescent="0.35">
      <c r="A4" t="s">
        <v>131</v>
      </c>
      <c r="B4" t="s">
        <v>129</v>
      </c>
      <c r="C4" t="s">
        <v>64</v>
      </c>
      <c r="D4">
        <f>_xlfn.XLOOKUP(tblAnalysis[[#This Row],[Firm]],tblSelection[Firm Name],tblSelection[Insurance &amp; pure protection],"Not found",0)</f>
        <v>19555</v>
      </c>
      <c r="E4">
        <f>_xlfn.XLOOKUP(tblAnalysis[[#This Row],[Firm]], tblClosed[Firm Name], tblClosed[Insurance &amp; pure protection], "Not found", 0)</f>
        <v>20666</v>
      </c>
      <c r="F4">
        <f>_xlfn.XLOOKUP(tblAnalysis[[#This Row],[Firm]],tblSelection[Firm Name], tblSelection[Context A Complaints per 1,000], "Not Found", 0)</f>
        <v>12.25</v>
      </c>
      <c r="G4" s="14">
        <f>_xlfn.XLOOKUP(tblAnalysis[[#This Row],[Firm]],tbl3Day[Firm Name], tbl3Day[Insurance &amp; pure protection],"Not found", 0)</f>
        <v>0.50990000000000002</v>
      </c>
      <c r="H4" s="14">
        <f>_xlfn.XLOOKUP(tblAnalysis[[#This Row],[Firm]],tbl3to8[Firm Name], tbl3to8[Insurance &amp; pure protection], "Not found", 0)</f>
        <v>0.47489999999999999</v>
      </c>
      <c r="I4" s="14">
        <f>tblAnalysis[[#This Row],[% Closed within 3 Days]]+tblAnalysis[[#This Row],[% Closed 3 Days - 8 Weeks]]</f>
        <v>0.98480000000000001</v>
      </c>
      <c r="J4" s="14">
        <f>1-tblAnalysis[[#This Row],[% Closed within 8 Weeks]]</f>
        <v>1.5199999999999991E-2</v>
      </c>
      <c r="K4" s="14">
        <f>_xlfn.XLOOKUP(tblAnalysis[[#This Row],[Firm]],tblUpheld[Firm Name], tblUpheld[Insurance &amp; pure protection], "not found", 0)</f>
        <v>0.54600000000000004</v>
      </c>
      <c r="L4">
        <f>_xlfn.RANK.EQ(tblAnalysis[[#This Row],[Complaints per 1,000 Policies]],tblAnalysis[Complaints per 1,000 Policies],1)</f>
        <v>14</v>
      </c>
      <c r="M4">
        <f>_xlfn.RANK.EQ(tblAnalysis[[#This Row],[% Closed within 8 Weeks]],tblAnalysis[% Closed within 8 Weeks],0)</f>
        <v>4</v>
      </c>
      <c r="N4">
        <f>ROUND(AVERAGE(tblAnalysis[[#This Row],[Complaint Rate Rank]],tblAnalysis[[#This Row],[8-Week Closure Rank]]),2)</f>
        <v>9</v>
      </c>
      <c r="O4">
        <f>_xlfn.RANK.EQ(tblAnalysis[[#This Row],[Core Performance Score]],tblAnalysis[Core Performance Score],1)</f>
        <v>8</v>
      </c>
      <c r="P4" t="str" cm="1">
        <f t="array" ref="P4">_xlfn.IFS(tblAnalysis[[#This Row],[Overall Rank]]&lt;=5,"Higher-ranked",tblAnalysis[[#This Row],[Overall Rank]]&lt;=10,"Middle-ranked",TRUE,"Lower-ranked")</f>
        <v>Middle-ranked</v>
      </c>
      <c r="Q4" s="7" t="s">
        <v>448</v>
      </c>
    </row>
    <row r="5" spans="1:17" ht="43.5" x14ac:dyDescent="0.35">
      <c r="A5" t="s">
        <v>130</v>
      </c>
      <c r="B5" t="s">
        <v>129</v>
      </c>
      <c r="C5" t="s">
        <v>64</v>
      </c>
      <c r="D5">
        <f>_xlfn.XLOOKUP(tblAnalysis[[#This Row],[Firm]],tblSelection[Firm Name],tblSelection[Insurance &amp; pure protection],"Not found",0)</f>
        <v>16052</v>
      </c>
      <c r="E5">
        <f>_xlfn.XLOOKUP(tblAnalysis[[#This Row],[Firm]], tblClosed[Firm Name], tblClosed[Insurance &amp; pure protection], "Not found", 0)</f>
        <v>16159</v>
      </c>
      <c r="F5">
        <f>_xlfn.XLOOKUP(tblAnalysis[[#This Row],[Firm]],tblSelection[Firm Name], tblSelection[Context A Complaints per 1,000], "Not Found", 0)</f>
        <v>4.7699999999999996</v>
      </c>
      <c r="G5" s="14">
        <f>_xlfn.XLOOKUP(tblAnalysis[[#This Row],[Firm]],tbl3Day[Firm Name], tbl3Day[Insurance &amp; pure protection],"Not found", 0)</f>
        <v>0.31169999999999998</v>
      </c>
      <c r="H5" s="14">
        <f>_xlfn.XLOOKUP(tblAnalysis[[#This Row],[Firm]],tbl3to8[Firm Name], tbl3to8[Insurance &amp; pure protection], "Not found", 0)</f>
        <v>0.63439999999999996</v>
      </c>
      <c r="I5" s="14">
        <f>tblAnalysis[[#This Row],[% Closed within 3 Days]]+tblAnalysis[[#This Row],[% Closed 3 Days - 8 Weeks]]</f>
        <v>0.94609999999999994</v>
      </c>
      <c r="J5" s="14">
        <f>1-tblAnalysis[[#This Row],[% Closed within 8 Weeks]]</f>
        <v>5.3900000000000059E-2</v>
      </c>
      <c r="K5" s="14">
        <f>_xlfn.XLOOKUP(tblAnalysis[[#This Row],[Firm]],tblUpheld[Firm Name], tblUpheld[Insurance &amp; pure protection], "not found", 0)</f>
        <v>0.58709999999999996</v>
      </c>
      <c r="L5">
        <f>_xlfn.RANK.EQ(tblAnalysis[[#This Row],[Complaints per 1,000 Policies]],tblAnalysis[Complaints per 1,000 Policies],1)</f>
        <v>11</v>
      </c>
      <c r="M5">
        <f>_xlfn.RANK.EQ(tblAnalysis[[#This Row],[% Closed within 8 Weeks]],tblAnalysis[% Closed within 8 Weeks],0)</f>
        <v>12</v>
      </c>
      <c r="N5">
        <f>ROUND(AVERAGE(tblAnalysis[[#This Row],[Complaint Rate Rank]],tblAnalysis[[#This Row],[8-Week Closure Rank]]),2)</f>
        <v>11.5</v>
      </c>
      <c r="O5">
        <f>_xlfn.RANK.EQ(tblAnalysis[[#This Row],[Core Performance Score]],tblAnalysis[Core Performance Score],1)</f>
        <v>13</v>
      </c>
      <c r="P5" t="str" cm="1">
        <f t="array" ref="P5">_xlfn.IFS(tblAnalysis[[#This Row],[Overall Rank]]&lt;=5,"Higher-ranked",tblAnalysis[[#This Row],[Overall Rank]]&lt;=10,"Middle-ranked",TRUE,"Lower-ranked")</f>
        <v>Lower-ranked</v>
      </c>
      <c r="Q5" s="7" t="s">
        <v>449</v>
      </c>
    </row>
    <row r="6" spans="1:17" ht="43.5" x14ac:dyDescent="0.35">
      <c r="A6" t="s">
        <v>273</v>
      </c>
      <c r="B6" t="s">
        <v>93</v>
      </c>
      <c r="C6" t="s">
        <v>64</v>
      </c>
      <c r="D6">
        <f>_xlfn.XLOOKUP(tblAnalysis[[#This Row],[Firm]],tblSelection[Firm Name],tblSelection[Insurance &amp; pure protection],"Not found",0)</f>
        <v>12025</v>
      </c>
      <c r="E6">
        <f>_xlfn.XLOOKUP(tblAnalysis[[#This Row],[Firm]], tblClosed[Firm Name], tblClosed[Insurance &amp; pure protection], "Not found", 0)</f>
        <v>11028</v>
      </c>
      <c r="F6">
        <f>_xlfn.XLOOKUP(tblAnalysis[[#This Row],[Firm]],tblSelection[Firm Name], tblSelection[Context A Complaints per 1,000], "Not Found", 0)</f>
        <v>2.87</v>
      </c>
      <c r="G6" s="14">
        <f>_xlfn.XLOOKUP(tblAnalysis[[#This Row],[Firm]],tbl3Day[Firm Name], tbl3Day[Insurance &amp; pure protection],"Not found", 0)</f>
        <v>0.36109999999999998</v>
      </c>
      <c r="H6" s="14">
        <f>_xlfn.XLOOKUP(tblAnalysis[[#This Row],[Firm]],tbl3to8[Firm Name], tbl3to8[Insurance &amp; pure protection], "Not found", 0)</f>
        <v>0.48159999999999997</v>
      </c>
      <c r="I6" s="14">
        <f>tblAnalysis[[#This Row],[% Closed within 3 Days]]+tblAnalysis[[#This Row],[% Closed 3 Days - 8 Weeks]]</f>
        <v>0.8427</v>
      </c>
      <c r="J6" s="14">
        <f>1-tblAnalysis[[#This Row],[% Closed within 8 Weeks]]</f>
        <v>0.1573</v>
      </c>
      <c r="K6" s="14">
        <f>_xlfn.XLOOKUP(tblAnalysis[[#This Row],[Firm]],tblUpheld[Firm Name], tblUpheld[Insurance &amp; pure protection], "not found", 0)</f>
        <v>0.55859999999999999</v>
      </c>
      <c r="L6">
        <f>_xlfn.RANK.EQ(tblAnalysis[[#This Row],[Complaints per 1,000 Policies]],tblAnalysis[Complaints per 1,000 Policies],1)</f>
        <v>8</v>
      </c>
      <c r="M6">
        <f>_xlfn.RANK.EQ(tblAnalysis[[#This Row],[% Closed within 8 Weeks]],tblAnalysis[% Closed within 8 Weeks],0)</f>
        <v>15</v>
      </c>
      <c r="N6">
        <f>ROUND(AVERAGE(tblAnalysis[[#This Row],[Complaint Rate Rank]],tblAnalysis[[#This Row],[8-Week Closure Rank]]),2)</f>
        <v>11.5</v>
      </c>
      <c r="O6">
        <f>_xlfn.RANK.EQ(tblAnalysis[[#This Row],[Core Performance Score]],tblAnalysis[Core Performance Score],1)</f>
        <v>13</v>
      </c>
      <c r="P6" t="str" cm="1">
        <f t="array" ref="P6">_xlfn.IFS(tblAnalysis[[#This Row],[Overall Rank]]&lt;=5,"Higher-ranked",tblAnalysis[[#This Row],[Overall Rank]]&lt;=10,"Middle-ranked",TRUE,"Lower-ranked")</f>
        <v>Lower-ranked</v>
      </c>
      <c r="Q6" s="7" t="s">
        <v>450</v>
      </c>
    </row>
    <row r="7" spans="1:17" ht="43.5" x14ac:dyDescent="0.35">
      <c r="A7" t="s">
        <v>139</v>
      </c>
      <c r="B7" t="s">
        <v>68</v>
      </c>
      <c r="C7" t="s">
        <v>64</v>
      </c>
      <c r="D7">
        <f>_xlfn.XLOOKUP(tblAnalysis[[#This Row],[Firm]],tblSelection[Firm Name],tblSelection[Insurance &amp; pure protection],"Not found",0)</f>
        <v>11577</v>
      </c>
      <c r="E7">
        <f>_xlfn.XLOOKUP(tblAnalysis[[#This Row],[Firm]], tblClosed[Firm Name], tblClosed[Insurance &amp; pure protection], "Not found", 0)</f>
        <v>11307</v>
      </c>
      <c r="F7">
        <f>_xlfn.XLOOKUP(tblAnalysis[[#This Row],[Firm]],tblSelection[Firm Name], tblSelection[Context A Complaints per 1,000], "Not Found", 0)</f>
        <v>5.23</v>
      </c>
      <c r="G7" s="14">
        <f>_xlfn.XLOOKUP(tblAnalysis[[#This Row],[Firm]],tbl3Day[Firm Name], tbl3Day[Insurance &amp; pure protection],"Not found", 0)</f>
        <v>0.68</v>
      </c>
      <c r="H7" s="14">
        <f>_xlfn.XLOOKUP(tblAnalysis[[#This Row],[Firm]],tbl3to8[Firm Name], tbl3to8[Insurance &amp; pure protection], "Not found", 0)</f>
        <v>0.31369999999999998</v>
      </c>
      <c r="I7" s="14">
        <f>tblAnalysis[[#This Row],[% Closed within 3 Days]]+tblAnalysis[[#This Row],[% Closed 3 Days - 8 Weeks]]</f>
        <v>0.99370000000000003</v>
      </c>
      <c r="J7" s="14">
        <f>1-tblAnalysis[[#This Row],[% Closed within 8 Weeks]]</f>
        <v>6.2999999999999723E-3</v>
      </c>
      <c r="K7" s="14">
        <f>_xlfn.XLOOKUP(tblAnalysis[[#This Row],[Firm]],tblUpheld[Firm Name], tblUpheld[Insurance &amp; pure protection], "not found", 0)</f>
        <v>0.4572</v>
      </c>
      <c r="L7">
        <f>_xlfn.RANK.EQ(tblAnalysis[[#This Row],[Complaints per 1,000 Policies]],tblAnalysis[Complaints per 1,000 Policies],1)</f>
        <v>12</v>
      </c>
      <c r="M7">
        <f>_xlfn.RANK.EQ(tblAnalysis[[#This Row],[% Closed within 8 Weeks]],tblAnalysis[% Closed within 8 Weeks],0)</f>
        <v>2</v>
      </c>
      <c r="N7">
        <f>ROUND(AVERAGE(tblAnalysis[[#This Row],[Complaint Rate Rank]],tblAnalysis[[#This Row],[8-Week Closure Rank]]),2)</f>
        <v>7</v>
      </c>
      <c r="O7">
        <f>_xlfn.RANK.EQ(tblAnalysis[[#This Row],[Core Performance Score]],tblAnalysis[Core Performance Score],1)</f>
        <v>6</v>
      </c>
      <c r="P7" t="str" cm="1">
        <f t="array" ref="P7">_xlfn.IFS(tblAnalysis[[#This Row],[Overall Rank]]&lt;=5,"Higher-ranked",tblAnalysis[[#This Row],[Overall Rank]]&lt;=10,"Middle-ranked",TRUE,"Lower-ranked")</f>
        <v>Middle-ranked</v>
      </c>
      <c r="Q7" s="7" t="s">
        <v>451</v>
      </c>
    </row>
    <row r="8" spans="1:17" ht="43.5" x14ac:dyDescent="0.35">
      <c r="A8" t="s">
        <v>200</v>
      </c>
      <c r="B8" t="s">
        <v>201</v>
      </c>
      <c r="C8" t="s">
        <v>64</v>
      </c>
      <c r="D8">
        <f>_xlfn.XLOOKUP(tblAnalysis[[#This Row],[Firm]],tblSelection[Firm Name],tblSelection[Insurance &amp; pure protection],"Not found",0)</f>
        <v>11352</v>
      </c>
      <c r="E8">
        <f>_xlfn.XLOOKUP(tblAnalysis[[#This Row],[Firm]], tblClosed[Firm Name], tblClosed[Insurance &amp; pure protection], "Not found", 0)</f>
        <v>11394</v>
      </c>
      <c r="F8">
        <f>_xlfn.XLOOKUP(tblAnalysis[[#This Row],[Firm]],tblSelection[Firm Name], tblSelection[Context A Complaints per 1,000], "Not Found", 0)</f>
        <v>2.62</v>
      </c>
      <c r="G8" s="14">
        <f>_xlfn.XLOOKUP(tblAnalysis[[#This Row],[Firm]],tbl3Day[Firm Name], tbl3Day[Insurance &amp; pure protection],"Not found", 0)</f>
        <v>0.44540000000000002</v>
      </c>
      <c r="H8" s="14">
        <f>_xlfn.XLOOKUP(tblAnalysis[[#This Row],[Firm]],tbl3to8[Firm Name], tbl3to8[Insurance &amp; pure protection], "Not found", 0)</f>
        <v>0.50619999999999998</v>
      </c>
      <c r="I8" s="14">
        <f>tblAnalysis[[#This Row],[% Closed within 3 Days]]+tblAnalysis[[#This Row],[% Closed 3 Days - 8 Weeks]]</f>
        <v>0.9516</v>
      </c>
      <c r="J8" s="14">
        <f>1-tblAnalysis[[#This Row],[% Closed within 8 Weeks]]</f>
        <v>4.8399999999999999E-2</v>
      </c>
      <c r="K8" s="14">
        <f>_xlfn.XLOOKUP(tblAnalysis[[#This Row],[Firm]],tblUpheld[Firm Name], tblUpheld[Insurance &amp; pure protection], "not found", 0)</f>
        <v>0.70240000000000002</v>
      </c>
      <c r="L8">
        <f>_xlfn.RANK.EQ(tblAnalysis[[#This Row],[Complaints per 1,000 Policies]],tblAnalysis[Complaints per 1,000 Policies],1)</f>
        <v>6</v>
      </c>
      <c r="M8">
        <f>_xlfn.RANK.EQ(tblAnalysis[[#This Row],[% Closed within 8 Weeks]],tblAnalysis[% Closed within 8 Weeks],0)</f>
        <v>11</v>
      </c>
      <c r="N8">
        <f>ROUND(AVERAGE(tblAnalysis[[#This Row],[Complaint Rate Rank]],tblAnalysis[[#This Row],[8-Week Closure Rank]]),2)</f>
        <v>8.5</v>
      </c>
      <c r="O8">
        <f>_xlfn.RANK.EQ(tblAnalysis[[#This Row],[Core Performance Score]],tblAnalysis[Core Performance Score],1)</f>
        <v>7</v>
      </c>
      <c r="P8" t="str" cm="1">
        <f t="array" ref="P8">_xlfn.IFS(tblAnalysis[[#This Row],[Overall Rank]]&lt;=5,"Higher-ranked",tblAnalysis[[#This Row],[Overall Rank]]&lt;=10,"Middle-ranked",TRUE,"Lower-ranked")</f>
        <v>Middle-ranked</v>
      </c>
      <c r="Q8" s="7" t="s">
        <v>452</v>
      </c>
    </row>
    <row r="9" spans="1:17" ht="43.5" x14ac:dyDescent="0.35">
      <c r="A9" t="s">
        <v>218</v>
      </c>
      <c r="B9" t="s">
        <v>219</v>
      </c>
      <c r="C9" t="s">
        <v>64</v>
      </c>
      <c r="D9">
        <f>_xlfn.XLOOKUP(tblAnalysis[[#This Row],[Firm]],tblSelection[Firm Name],tblSelection[Insurance &amp; pure protection],"Not found",0)</f>
        <v>8797</v>
      </c>
      <c r="E9">
        <f>_xlfn.XLOOKUP(tblAnalysis[[#This Row],[Firm]], tblClosed[Firm Name], tblClosed[Insurance &amp; pure protection], "Not found", 0)</f>
        <v>8965</v>
      </c>
      <c r="F9">
        <f>_xlfn.XLOOKUP(tblAnalysis[[#This Row],[Firm]],tblSelection[Firm Name], tblSelection[Context A Complaints per 1,000], "Not Found", 0)</f>
        <v>6.26</v>
      </c>
      <c r="G9" s="14">
        <f>_xlfn.XLOOKUP(tblAnalysis[[#This Row],[Firm]],tbl3Day[Firm Name], tbl3Day[Insurance &amp; pure protection],"Not found", 0)</f>
        <v>0.55500000000000005</v>
      </c>
      <c r="H9" s="14">
        <f>_xlfn.XLOOKUP(tblAnalysis[[#This Row],[Firm]],tbl3to8[Firm Name], tbl3to8[Insurance &amp; pure protection], "Not found", 0)</f>
        <v>0.42309999999999998</v>
      </c>
      <c r="I9" s="14">
        <f>tblAnalysis[[#This Row],[% Closed within 3 Days]]+tblAnalysis[[#This Row],[% Closed 3 Days - 8 Weeks]]</f>
        <v>0.97809999999999997</v>
      </c>
      <c r="J9" s="14">
        <f>1-tblAnalysis[[#This Row],[% Closed within 8 Weeks]]</f>
        <v>2.1900000000000031E-2</v>
      </c>
      <c r="K9" s="14">
        <f>_xlfn.XLOOKUP(tblAnalysis[[#This Row],[Firm]],tblUpheld[Firm Name], tblUpheld[Insurance &amp; pure protection], "not found", 0)</f>
        <v>0.42359999999999998</v>
      </c>
      <c r="L9">
        <f>_xlfn.RANK.EQ(tblAnalysis[[#This Row],[Complaints per 1,000 Policies]],tblAnalysis[Complaints per 1,000 Policies],1)</f>
        <v>13</v>
      </c>
      <c r="M9">
        <f>_xlfn.RANK.EQ(tblAnalysis[[#This Row],[% Closed within 8 Weeks]],tblAnalysis[% Closed within 8 Weeks],0)</f>
        <v>5</v>
      </c>
      <c r="N9">
        <f>ROUND(AVERAGE(tblAnalysis[[#This Row],[Complaint Rate Rank]],tblAnalysis[[#This Row],[8-Week Closure Rank]]),2)</f>
        <v>9</v>
      </c>
      <c r="O9">
        <f>_xlfn.RANK.EQ(tblAnalysis[[#This Row],[Core Performance Score]],tblAnalysis[Core Performance Score],1)</f>
        <v>8</v>
      </c>
      <c r="P9" t="str" cm="1">
        <f t="array" ref="P9">_xlfn.IFS(tblAnalysis[[#This Row],[Overall Rank]]&lt;=5,"Higher-ranked",tblAnalysis[[#This Row],[Overall Rank]]&lt;=10,"Middle-ranked",TRUE,"Lower-ranked")</f>
        <v>Middle-ranked</v>
      </c>
      <c r="Q9" s="7" t="s">
        <v>453</v>
      </c>
    </row>
    <row r="10" spans="1:17" ht="43.5" x14ac:dyDescent="0.35">
      <c r="A10" t="s">
        <v>116</v>
      </c>
      <c r="B10" t="s">
        <v>68</v>
      </c>
      <c r="C10" t="s">
        <v>64</v>
      </c>
      <c r="D10">
        <f>_xlfn.XLOOKUP(tblAnalysis[[#This Row],[Firm]],tblSelection[Firm Name],tblSelection[Insurance &amp; pure protection],"Not found",0)</f>
        <v>8517</v>
      </c>
      <c r="E10">
        <f>_xlfn.XLOOKUP(tblAnalysis[[#This Row],[Firm]], tblClosed[Firm Name], tblClosed[Insurance &amp; pure protection], "Not found", 0)</f>
        <v>8470</v>
      </c>
      <c r="F10">
        <f>_xlfn.XLOOKUP(tblAnalysis[[#This Row],[Firm]],tblSelection[Firm Name], tblSelection[Context A Complaints per 1,000], "Not Found", 0)</f>
        <v>4.22</v>
      </c>
      <c r="G10" s="14">
        <f>_xlfn.XLOOKUP(tblAnalysis[[#This Row],[Firm]],tbl3Day[Firm Name], tbl3Day[Insurance &amp; pure protection],"Not found", 0)</f>
        <v>0.76270000000000004</v>
      </c>
      <c r="H10" s="14">
        <f>_xlfn.XLOOKUP(tblAnalysis[[#This Row],[Firm]],tbl3to8[Firm Name], tbl3to8[Insurance &amp; pure protection], "Not found", 0)</f>
        <v>0.2351</v>
      </c>
      <c r="I10" s="14">
        <f>tblAnalysis[[#This Row],[% Closed within 3 Days]]+tblAnalysis[[#This Row],[% Closed 3 Days - 8 Weeks]]</f>
        <v>0.99780000000000002</v>
      </c>
      <c r="J10" s="14">
        <f>1-tblAnalysis[[#This Row],[% Closed within 8 Weeks]]</f>
        <v>2.1999999999999797E-3</v>
      </c>
      <c r="K10" s="14">
        <f>_xlfn.XLOOKUP(tblAnalysis[[#This Row],[Firm]],tblUpheld[Firm Name], tblUpheld[Insurance &amp; pure protection], "not found", 0)</f>
        <v>0.4365</v>
      </c>
      <c r="L10">
        <f>_xlfn.RANK.EQ(tblAnalysis[[#This Row],[Complaints per 1,000 Policies]],tblAnalysis[Complaints per 1,000 Policies],1)</f>
        <v>9</v>
      </c>
      <c r="M10">
        <f>_xlfn.RANK.EQ(tblAnalysis[[#This Row],[% Closed within 8 Weeks]],tblAnalysis[% Closed within 8 Weeks],0)</f>
        <v>1</v>
      </c>
      <c r="N10">
        <f>ROUND(AVERAGE(tblAnalysis[[#This Row],[Complaint Rate Rank]],tblAnalysis[[#This Row],[8-Week Closure Rank]]),2)</f>
        <v>5</v>
      </c>
      <c r="O10">
        <f>_xlfn.RANK.EQ(tblAnalysis[[#This Row],[Core Performance Score]],tblAnalysis[Core Performance Score],1)</f>
        <v>3</v>
      </c>
      <c r="P10" t="str" cm="1">
        <f t="array" ref="P10">_xlfn.IFS(tblAnalysis[[#This Row],[Overall Rank]]&lt;=5,"Higher-ranked",tblAnalysis[[#This Row],[Overall Rank]]&lt;=10,"Middle-ranked",TRUE,"Lower-ranked")</f>
        <v>Higher-ranked</v>
      </c>
      <c r="Q10" s="7" t="s">
        <v>454</v>
      </c>
    </row>
    <row r="11" spans="1:17" ht="43.5" x14ac:dyDescent="0.35">
      <c r="A11" t="s">
        <v>251</v>
      </c>
      <c r="B11" t="s">
        <v>129</v>
      </c>
      <c r="C11" t="s">
        <v>64</v>
      </c>
      <c r="D11">
        <f>_xlfn.XLOOKUP(tblAnalysis[[#This Row],[Firm]],tblSelection[Firm Name],tblSelection[Insurance &amp; pure protection],"Not found",0)</f>
        <v>8125</v>
      </c>
      <c r="E11">
        <f>_xlfn.XLOOKUP(tblAnalysis[[#This Row],[Firm]], tblClosed[Firm Name], tblClosed[Insurance &amp; pure protection], "Not found", 0)</f>
        <v>7377</v>
      </c>
      <c r="F11">
        <f>_xlfn.XLOOKUP(tblAnalysis[[#This Row],[Firm]],tblSelection[Firm Name], tblSelection[Context A Complaints per 1,000], "Not Found", 0)</f>
        <v>1.45</v>
      </c>
      <c r="G11" s="14">
        <f>_xlfn.XLOOKUP(tblAnalysis[[#This Row],[Firm]],tbl3Day[Firm Name], tbl3Day[Insurance &amp; pure protection],"Not found", 0)</f>
        <v>0.2586</v>
      </c>
      <c r="H11" s="14">
        <f>_xlfn.XLOOKUP(tblAnalysis[[#This Row],[Firm]],tbl3to8[Firm Name], tbl3to8[Insurance &amp; pure protection], "Not found", 0)</f>
        <v>0.71760000000000002</v>
      </c>
      <c r="I11" s="14">
        <f>tblAnalysis[[#This Row],[% Closed within 3 Days]]+tblAnalysis[[#This Row],[% Closed 3 Days - 8 Weeks]]</f>
        <v>0.97619999999999996</v>
      </c>
      <c r="J11" s="14">
        <f>1-tblAnalysis[[#This Row],[% Closed within 8 Weeks]]</f>
        <v>2.3800000000000043E-2</v>
      </c>
      <c r="K11" s="14">
        <f>_xlfn.XLOOKUP(tblAnalysis[[#This Row],[Firm]],tblUpheld[Firm Name], tblUpheld[Insurance &amp; pure protection], "not found", 0)</f>
        <v>0.74099999999999999</v>
      </c>
      <c r="L11">
        <f>_xlfn.RANK.EQ(tblAnalysis[[#This Row],[Complaints per 1,000 Policies]],tblAnalysis[Complaints per 1,000 Policies],1)</f>
        <v>3</v>
      </c>
      <c r="M11">
        <f>_xlfn.RANK.EQ(tblAnalysis[[#This Row],[% Closed within 8 Weeks]],tblAnalysis[% Closed within 8 Weeks],0)</f>
        <v>7</v>
      </c>
      <c r="N11">
        <f>ROUND(AVERAGE(tblAnalysis[[#This Row],[Complaint Rate Rank]],tblAnalysis[[#This Row],[8-Week Closure Rank]]),2)</f>
        <v>5</v>
      </c>
      <c r="O11">
        <f>_xlfn.RANK.EQ(tblAnalysis[[#This Row],[Core Performance Score]],tblAnalysis[Core Performance Score],1)</f>
        <v>3</v>
      </c>
      <c r="P11" t="str" cm="1">
        <f t="array" ref="P11">_xlfn.IFS(tblAnalysis[[#This Row],[Overall Rank]]&lt;=5,"Higher-ranked",tblAnalysis[[#This Row],[Overall Rank]]&lt;=10,"Middle-ranked",TRUE,"Lower-ranked")</f>
        <v>Higher-ranked</v>
      </c>
      <c r="Q11" s="7" t="s">
        <v>455</v>
      </c>
    </row>
    <row r="12" spans="1:17" ht="43.5" x14ac:dyDescent="0.35">
      <c r="A12" t="s">
        <v>110</v>
      </c>
      <c r="B12" t="s">
        <v>111</v>
      </c>
      <c r="C12" t="s">
        <v>64</v>
      </c>
      <c r="D12">
        <f>_xlfn.XLOOKUP(tblAnalysis[[#This Row],[Firm]],tblSelection[Firm Name],tblSelection[Insurance &amp; pure protection],"Not found",0)</f>
        <v>6731</v>
      </c>
      <c r="E12">
        <f>_xlfn.XLOOKUP(tblAnalysis[[#This Row],[Firm]], tblClosed[Firm Name], tblClosed[Insurance &amp; pure protection], "Not found", 0)</f>
        <v>6825</v>
      </c>
      <c r="F12">
        <f>_xlfn.XLOOKUP(tblAnalysis[[#This Row],[Firm]],tblSelection[Firm Name], tblSelection[Context A Complaints per 1,000], "Not Found", 0)</f>
        <v>1.18</v>
      </c>
      <c r="G12" s="14">
        <f>_xlfn.XLOOKUP(tblAnalysis[[#This Row],[Firm]],tbl3Day[Firm Name], tbl3Day[Insurance &amp; pure protection],"Not found", 0)</f>
        <v>0.65</v>
      </c>
      <c r="H12" s="14">
        <f>_xlfn.XLOOKUP(tblAnalysis[[#This Row],[Firm]],tbl3to8[Firm Name], tbl3to8[Insurance &amp; pure protection], "Not found", 0)</f>
        <v>0.34079999999999999</v>
      </c>
      <c r="I12" s="14">
        <f>tblAnalysis[[#This Row],[% Closed within 3 Days]]+tblAnalysis[[#This Row],[% Closed 3 Days - 8 Weeks]]</f>
        <v>0.99080000000000001</v>
      </c>
      <c r="J12" s="14">
        <f>1-tblAnalysis[[#This Row],[% Closed within 8 Weeks]]</f>
        <v>9.199999999999986E-3</v>
      </c>
      <c r="K12" s="14">
        <f>_xlfn.XLOOKUP(tblAnalysis[[#This Row],[Firm]],tblUpheld[Firm Name], tblUpheld[Insurance &amp; pure protection], "not found", 0)</f>
        <v>0.4607</v>
      </c>
      <c r="L12">
        <f>_xlfn.RANK.EQ(tblAnalysis[[#This Row],[Complaints per 1,000 Policies]],tblAnalysis[Complaints per 1,000 Policies],1)</f>
        <v>2</v>
      </c>
      <c r="M12">
        <f>_xlfn.RANK.EQ(tblAnalysis[[#This Row],[% Closed within 8 Weeks]],tblAnalysis[% Closed within 8 Weeks],0)</f>
        <v>3</v>
      </c>
      <c r="N12">
        <f>ROUND(AVERAGE(tblAnalysis[[#This Row],[Complaint Rate Rank]],tblAnalysis[[#This Row],[8-Week Closure Rank]]),2)</f>
        <v>2.5</v>
      </c>
      <c r="O12">
        <f>_xlfn.RANK.EQ(tblAnalysis[[#This Row],[Core Performance Score]],tblAnalysis[Core Performance Score],1)</f>
        <v>1</v>
      </c>
      <c r="P12" t="str" cm="1">
        <f t="array" ref="P12">_xlfn.IFS(tblAnalysis[[#This Row],[Overall Rank]]&lt;=5,"Higher-ranked",tblAnalysis[[#This Row],[Overall Rank]]&lt;=10,"Middle-ranked",TRUE,"Lower-ranked")</f>
        <v>Higher-ranked</v>
      </c>
      <c r="Q12" s="7" t="s">
        <v>456</v>
      </c>
    </row>
    <row r="13" spans="1:17" ht="43.5" x14ac:dyDescent="0.35">
      <c r="A13" t="s">
        <v>249</v>
      </c>
      <c r="B13" t="s">
        <v>250</v>
      </c>
      <c r="C13" t="s">
        <v>64</v>
      </c>
      <c r="D13">
        <f>_xlfn.XLOOKUP(tblAnalysis[[#This Row],[Firm]],tblSelection[Firm Name],tblSelection[Insurance &amp; pure protection],"Not found",0)</f>
        <v>5765</v>
      </c>
      <c r="E13">
        <f>_xlfn.XLOOKUP(tblAnalysis[[#This Row],[Firm]], tblClosed[Firm Name], tblClosed[Insurance &amp; pure protection], "Not found", 0)</f>
        <v>6049</v>
      </c>
      <c r="F13">
        <f>_xlfn.XLOOKUP(tblAnalysis[[#This Row],[Firm]],tblSelection[Firm Name], tblSelection[Context A Complaints per 1,000], "Not Found", 0)</f>
        <v>2.0099999999999998</v>
      </c>
      <c r="G13" s="14">
        <f>_xlfn.XLOOKUP(tblAnalysis[[#This Row],[Firm]],tbl3Day[Firm Name], tbl3Day[Insurance &amp; pure protection],"Not found", 0)</f>
        <v>0.36059999999999998</v>
      </c>
      <c r="H13" s="14">
        <f>_xlfn.XLOOKUP(tblAnalysis[[#This Row],[Firm]],tbl3to8[Firm Name], tbl3to8[Insurance &amp; pure protection], "Not found", 0)</f>
        <v>0.55610000000000004</v>
      </c>
      <c r="I13" s="14">
        <f>tblAnalysis[[#This Row],[% Closed within 3 Days]]+tblAnalysis[[#This Row],[% Closed 3 Days - 8 Weeks]]</f>
        <v>0.91670000000000007</v>
      </c>
      <c r="J13" s="14">
        <f>1-tblAnalysis[[#This Row],[% Closed within 8 Weeks]]</f>
        <v>8.329999999999993E-2</v>
      </c>
      <c r="K13" s="14">
        <f>_xlfn.XLOOKUP(tblAnalysis[[#This Row],[Firm]],tblUpheld[Firm Name], tblUpheld[Insurance &amp; pure protection], "not found", 0)</f>
        <v>0.56459999999999999</v>
      </c>
      <c r="L13">
        <f>_xlfn.RANK.EQ(tblAnalysis[[#This Row],[Complaints per 1,000 Policies]],tblAnalysis[Complaints per 1,000 Policies],1)</f>
        <v>4</v>
      </c>
      <c r="M13">
        <f>_xlfn.RANK.EQ(tblAnalysis[[#This Row],[% Closed within 8 Weeks]],tblAnalysis[% Closed within 8 Weeks],0)</f>
        <v>14</v>
      </c>
      <c r="N13">
        <f>ROUND(AVERAGE(tblAnalysis[[#This Row],[Complaint Rate Rank]],tblAnalysis[[#This Row],[8-Week Closure Rank]]),2)</f>
        <v>9</v>
      </c>
      <c r="O13">
        <f>_xlfn.RANK.EQ(tblAnalysis[[#This Row],[Core Performance Score]],tblAnalysis[Core Performance Score],1)</f>
        <v>8</v>
      </c>
      <c r="P13" t="str" cm="1">
        <f t="array" ref="P13">_xlfn.IFS(tblAnalysis[[#This Row],[Overall Rank]]&lt;=5,"Higher-ranked",tblAnalysis[[#This Row],[Overall Rank]]&lt;=10,"Middle-ranked",TRUE,"Lower-ranked")</f>
        <v>Middle-ranked</v>
      </c>
      <c r="Q13" s="7" t="s">
        <v>457</v>
      </c>
    </row>
    <row r="14" spans="1:17" ht="43.5" x14ac:dyDescent="0.35">
      <c r="A14" t="s">
        <v>274</v>
      </c>
      <c r="B14" t="s">
        <v>135</v>
      </c>
      <c r="C14" t="s">
        <v>64</v>
      </c>
      <c r="D14">
        <f>_xlfn.XLOOKUP(tblAnalysis[[#This Row],[Firm]],tblSelection[Firm Name],tblSelection[Insurance &amp; pure protection],"Not found",0)</f>
        <v>5683</v>
      </c>
      <c r="E14">
        <f>_xlfn.XLOOKUP(tblAnalysis[[#This Row],[Firm]], tblClosed[Firm Name], tblClosed[Insurance &amp; pure protection], "Not found", 0)</f>
        <v>5680</v>
      </c>
      <c r="F14">
        <f>_xlfn.XLOOKUP(tblAnalysis[[#This Row],[Firm]],tblSelection[Firm Name], tblSelection[Context A Complaints per 1,000], "Not Found", 0)</f>
        <v>2.17</v>
      </c>
      <c r="G14" s="14">
        <f>_xlfn.XLOOKUP(tblAnalysis[[#This Row],[Firm]],tbl3Day[Firm Name], tbl3Day[Insurance &amp; pure protection],"Not found", 0)</f>
        <v>0.2586</v>
      </c>
      <c r="H14" s="14">
        <f>_xlfn.XLOOKUP(tblAnalysis[[#This Row],[Firm]],tbl3to8[Firm Name], tbl3to8[Insurance &amp; pure protection], "Not found", 0)</f>
        <v>0.66879999999999995</v>
      </c>
      <c r="I14" s="14">
        <f>tblAnalysis[[#This Row],[% Closed within 3 Days]]+tblAnalysis[[#This Row],[% Closed 3 Days - 8 Weeks]]</f>
        <v>0.9274</v>
      </c>
      <c r="J14" s="14">
        <f>1-tblAnalysis[[#This Row],[% Closed within 8 Weeks]]</f>
        <v>7.2599999999999998E-2</v>
      </c>
      <c r="K14" s="14">
        <f>_xlfn.XLOOKUP(tblAnalysis[[#This Row],[Firm]],tblUpheld[Firm Name], tblUpheld[Insurance &amp; pure protection], "not found", 0)</f>
        <v>0.78239999999999998</v>
      </c>
      <c r="L14">
        <f>_xlfn.RANK.EQ(tblAnalysis[[#This Row],[Complaints per 1,000 Policies]],tblAnalysis[Complaints per 1,000 Policies],1)</f>
        <v>5</v>
      </c>
      <c r="M14">
        <f>_xlfn.RANK.EQ(tblAnalysis[[#This Row],[% Closed within 8 Weeks]],tblAnalysis[% Closed within 8 Weeks],0)</f>
        <v>13</v>
      </c>
      <c r="N14">
        <f>ROUND(AVERAGE(tblAnalysis[[#This Row],[Complaint Rate Rank]],tblAnalysis[[#This Row],[8-Week Closure Rank]]),2)</f>
        <v>9</v>
      </c>
      <c r="O14">
        <f>_xlfn.RANK.EQ(tblAnalysis[[#This Row],[Core Performance Score]],tblAnalysis[Core Performance Score],1)</f>
        <v>8</v>
      </c>
      <c r="P14" t="str" cm="1">
        <f t="array" ref="P14">_xlfn.IFS(tblAnalysis[[#This Row],[Overall Rank]]&lt;=5,"Higher-ranked",tblAnalysis[[#This Row],[Overall Rank]]&lt;=10,"Middle-ranked",TRUE,"Lower-ranked")</f>
        <v>Middle-ranked</v>
      </c>
      <c r="Q14" s="7" t="s">
        <v>458</v>
      </c>
    </row>
    <row r="15" spans="1:17" ht="43.5" x14ac:dyDescent="0.35">
      <c r="A15" t="s">
        <v>350</v>
      </c>
      <c r="B15" t="s">
        <v>351</v>
      </c>
      <c r="C15" t="s">
        <v>64</v>
      </c>
      <c r="D15">
        <f>_xlfn.XLOOKUP(tblAnalysis[[#This Row],[Firm]],tblSelection[Firm Name],tblSelection[Insurance &amp; pure protection],"Not found",0)</f>
        <v>5669</v>
      </c>
      <c r="E15">
        <f>_xlfn.XLOOKUP(tblAnalysis[[#This Row],[Firm]], tblClosed[Firm Name], tblClosed[Insurance &amp; pure protection], "Not found", 0)</f>
        <v>5756</v>
      </c>
      <c r="F15">
        <f>_xlfn.XLOOKUP(tblAnalysis[[#This Row],[Firm]],tblSelection[Firm Name], tblSelection[Context A Complaints per 1,000], "Not Found", 0)</f>
        <v>0.65</v>
      </c>
      <c r="G15" s="14">
        <f>_xlfn.XLOOKUP(tblAnalysis[[#This Row],[Firm]],tbl3Day[Firm Name], tbl3Day[Insurance &amp; pure protection],"Not found", 0)</f>
        <v>0.26369999999999999</v>
      </c>
      <c r="H15" s="14">
        <f>_xlfn.XLOOKUP(tblAnalysis[[#This Row],[Firm]],tbl3to8[Firm Name], tbl3to8[Insurance &amp; pure protection], "Not found", 0)</f>
        <v>0.70879999999999999</v>
      </c>
      <c r="I15" s="14">
        <f>tblAnalysis[[#This Row],[% Closed within 3 Days]]+tblAnalysis[[#This Row],[% Closed 3 Days - 8 Weeks]]</f>
        <v>0.97249999999999992</v>
      </c>
      <c r="J15" s="14">
        <f>1-tblAnalysis[[#This Row],[% Closed within 8 Weeks]]</f>
        <v>2.750000000000008E-2</v>
      </c>
      <c r="K15" s="14">
        <f>_xlfn.XLOOKUP(tblAnalysis[[#This Row],[Firm]],tblUpheld[Firm Name], tblUpheld[Insurance &amp; pure protection], "not found", 0)</f>
        <v>0.39779999999999999</v>
      </c>
      <c r="L15">
        <f>_xlfn.RANK.EQ(tblAnalysis[[#This Row],[Complaints per 1,000 Policies]],tblAnalysis[Complaints per 1,000 Policies],1)</f>
        <v>1</v>
      </c>
      <c r="M15">
        <f>_xlfn.RANK.EQ(tblAnalysis[[#This Row],[% Closed within 8 Weeks]],tblAnalysis[% Closed within 8 Weeks],0)</f>
        <v>8</v>
      </c>
      <c r="N15">
        <f>ROUND(AVERAGE(tblAnalysis[[#This Row],[Complaint Rate Rank]],tblAnalysis[[#This Row],[8-Week Closure Rank]]),2)</f>
        <v>4.5</v>
      </c>
      <c r="O15">
        <f>_xlfn.RANK.EQ(tblAnalysis[[#This Row],[Core Performance Score]],tblAnalysis[Core Performance Score],1)</f>
        <v>2</v>
      </c>
      <c r="P15" t="str" cm="1">
        <f t="array" ref="P15">_xlfn.IFS(tblAnalysis[[#This Row],[Overall Rank]]&lt;=5,"Higher-ranked",tblAnalysis[[#This Row],[Overall Rank]]&lt;=10,"Middle-ranked",TRUE,"Lower-ranked")</f>
        <v>Higher-ranked</v>
      </c>
      <c r="Q15" s="7" t="s">
        <v>459</v>
      </c>
    </row>
    <row r="16" spans="1:17" ht="43.5" x14ac:dyDescent="0.35">
      <c r="A16" t="s">
        <v>291</v>
      </c>
      <c r="B16" t="s">
        <v>199</v>
      </c>
      <c r="C16" t="s">
        <v>64</v>
      </c>
      <c r="D16">
        <f>_xlfn.XLOOKUP(tblAnalysis[[#This Row],[Firm]],tblSelection[Firm Name],tblSelection[Insurance &amp; pure protection],"Not found",0)</f>
        <v>5012</v>
      </c>
      <c r="E16">
        <f>_xlfn.XLOOKUP(tblAnalysis[[#This Row],[Firm]], tblClosed[Firm Name], tblClosed[Insurance &amp; pure protection], "Not found", 0)</f>
        <v>5303</v>
      </c>
      <c r="F16">
        <f>_xlfn.XLOOKUP(tblAnalysis[[#This Row],[Firm]],tblSelection[Firm Name], tblSelection[Context A Complaints per 1,000], "Not Found", 0)</f>
        <v>53.54</v>
      </c>
      <c r="G16" s="14">
        <f>_xlfn.XLOOKUP(tblAnalysis[[#This Row],[Firm]],tbl3Day[Firm Name], tbl3Day[Insurance &amp; pure protection],"Not found", 0)</f>
        <v>0.65280000000000005</v>
      </c>
      <c r="H16" s="14">
        <f>_xlfn.XLOOKUP(tblAnalysis[[#This Row],[Firm]],tbl3to8[Firm Name], tbl3to8[Insurance &amp; pure protection], "Not found", 0)</f>
        <v>0.31380000000000002</v>
      </c>
      <c r="I16" s="14">
        <f>tblAnalysis[[#This Row],[% Closed within 3 Days]]+tblAnalysis[[#This Row],[% Closed 3 Days - 8 Weeks]]</f>
        <v>0.96660000000000013</v>
      </c>
      <c r="J16" s="14">
        <f>1-tblAnalysis[[#This Row],[% Closed within 8 Weeks]]</f>
        <v>3.3399999999999874E-2</v>
      </c>
      <c r="K16" s="14">
        <f>_xlfn.XLOOKUP(tblAnalysis[[#This Row],[Firm]],tblUpheld[Firm Name], tblUpheld[Insurance &amp; pure protection], "not found", 0)</f>
        <v>0.1082</v>
      </c>
      <c r="L16">
        <f>_xlfn.RANK.EQ(tblAnalysis[[#This Row],[Complaints per 1,000 Policies]],tblAnalysis[Complaints per 1,000 Policies],1)</f>
        <v>15</v>
      </c>
      <c r="M16">
        <f>_xlfn.RANK.EQ(tblAnalysis[[#This Row],[% Closed within 8 Weeks]],tblAnalysis[% Closed within 8 Weeks],0)</f>
        <v>9</v>
      </c>
      <c r="N16">
        <f>ROUND(AVERAGE(tblAnalysis[[#This Row],[Complaint Rate Rank]],tblAnalysis[[#This Row],[8-Week Closure Rank]]),2)</f>
        <v>12</v>
      </c>
      <c r="O16">
        <f>_xlfn.RANK.EQ(tblAnalysis[[#This Row],[Core Performance Score]],tblAnalysis[Core Performance Score],1)</f>
        <v>15</v>
      </c>
      <c r="P16" t="str" cm="1">
        <f t="array" ref="P16">_xlfn.IFS(tblAnalysis[[#This Row],[Overall Rank]]&lt;=5,"Higher-ranked",tblAnalysis[[#This Row],[Overall Rank]]&lt;=10,"Middle-ranked",TRUE,"Lower-ranked")</f>
        <v>Lower-ranked</v>
      </c>
      <c r="Q16" s="7" t="s">
        <v>460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0F92A-4127-400B-ABB3-568E83F5BE5B}">
  <dimension ref="A3:E18"/>
  <sheetViews>
    <sheetView workbookViewId="0">
      <selection activeCell="B23" sqref="B23"/>
    </sheetView>
  </sheetViews>
  <sheetFormatPr defaultRowHeight="14.5" x14ac:dyDescent="0.35"/>
  <cols>
    <col min="1" max="1" width="38.08984375" bestFit="1" customWidth="1"/>
    <col min="2" max="2" width="18.7265625" bestFit="1" customWidth="1"/>
    <col min="4" max="4" width="38.08984375" bestFit="1" customWidth="1"/>
    <col min="5" max="5" width="17" bestFit="1" customWidth="1"/>
    <col min="7" max="7" width="38.08984375" bestFit="1" customWidth="1"/>
    <col min="8" max="8" width="5.08984375" bestFit="1" customWidth="1"/>
    <col min="9" max="9" width="30.26953125" bestFit="1" customWidth="1"/>
  </cols>
  <sheetData>
    <row r="3" spans="1:5" x14ac:dyDescent="0.35">
      <c r="A3" s="24" t="s">
        <v>421</v>
      </c>
      <c r="B3" t="s">
        <v>439</v>
      </c>
      <c r="D3" s="24" t="s">
        <v>421</v>
      </c>
      <c r="E3" t="s">
        <v>445</v>
      </c>
    </row>
    <row r="4" spans="1:5" x14ac:dyDescent="0.35">
      <c r="A4" s="1" t="s">
        <v>350</v>
      </c>
      <c r="B4" s="25">
        <v>0.65</v>
      </c>
      <c r="D4" s="1" t="s">
        <v>116</v>
      </c>
      <c r="E4" s="12">
        <v>0.99780000000000002</v>
      </c>
    </row>
    <row r="5" spans="1:5" x14ac:dyDescent="0.35">
      <c r="A5" s="1" t="s">
        <v>110</v>
      </c>
      <c r="B5" s="25">
        <v>1.18</v>
      </c>
      <c r="D5" s="1" t="s">
        <v>139</v>
      </c>
      <c r="E5" s="12">
        <v>0.99370000000000003</v>
      </c>
    </row>
    <row r="6" spans="1:5" x14ac:dyDescent="0.35">
      <c r="A6" s="1" t="s">
        <v>251</v>
      </c>
      <c r="B6" s="25">
        <v>1.45</v>
      </c>
      <c r="D6" s="1" t="s">
        <v>110</v>
      </c>
      <c r="E6" s="12">
        <v>0.99080000000000001</v>
      </c>
    </row>
    <row r="7" spans="1:5" x14ac:dyDescent="0.35">
      <c r="A7" s="1" t="s">
        <v>249</v>
      </c>
      <c r="B7" s="25">
        <v>2.0099999999999998</v>
      </c>
      <c r="D7" s="1" t="s">
        <v>131</v>
      </c>
      <c r="E7" s="12">
        <v>0.98480000000000001</v>
      </c>
    </row>
    <row r="8" spans="1:5" x14ac:dyDescent="0.35">
      <c r="A8" s="1" t="s">
        <v>274</v>
      </c>
      <c r="B8" s="25">
        <v>2.17</v>
      </c>
      <c r="D8" s="1" t="s">
        <v>218</v>
      </c>
      <c r="E8" s="12">
        <v>0.97809999999999997</v>
      </c>
    </row>
    <row r="9" spans="1:5" x14ac:dyDescent="0.35">
      <c r="A9" s="1" t="s">
        <v>200</v>
      </c>
      <c r="B9" s="25">
        <v>2.62</v>
      </c>
      <c r="D9" s="1" t="s">
        <v>123</v>
      </c>
      <c r="E9" s="12">
        <v>0.9766999999999999</v>
      </c>
    </row>
    <row r="10" spans="1:5" x14ac:dyDescent="0.35">
      <c r="A10" s="1" t="s">
        <v>123</v>
      </c>
      <c r="B10" s="25">
        <v>2.72</v>
      </c>
      <c r="D10" s="1" t="s">
        <v>251</v>
      </c>
      <c r="E10" s="12">
        <v>0.97619999999999996</v>
      </c>
    </row>
    <row r="11" spans="1:5" x14ac:dyDescent="0.35">
      <c r="A11" s="1" t="s">
        <v>273</v>
      </c>
      <c r="B11" s="25">
        <v>2.87</v>
      </c>
      <c r="D11" s="1" t="s">
        <v>350</v>
      </c>
      <c r="E11" s="12">
        <v>0.97249999999999992</v>
      </c>
    </row>
    <row r="12" spans="1:5" x14ac:dyDescent="0.35">
      <c r="A12" s="1" t="s">
        <v>116</v>
      </c>
      <c r="B12" s="25">
        <v>4.22</v>
      </c>
      <c r="D12" s="1" t="s">
        <v>291</v>
      </c>
      <c r="E12" s="12">
        <v>0.96660000000000013</v>
      </c>
    </row>
    <row r="13" spans="1:5" x14ac:dyDescent="0.35">
      <c r="A13" s="1" t="s">
        <v>382</v>
      </c>
      <c r="B13" s="25">
        <v>4.54</v>
      </c>
      <c r="D13" s="1" t="s">
        <v>382</v>
      </c>
      <c r="E13" s="12">
        <v>0.96510000000000007</v>
      </c>
    </row>
    <row r="14" spans="1:5" x14ac:dyDescent="0.35">
      <c r="A14" s="1" t="s">
        <v>130</v>
      </c>
      <c r="B14" s="25">
        <v>4.7699999999999996</v>
      </c>
      <c r="D14" s="1" t="s">
        <v>200</v>
      </c>
      <c r="E14" s="12">
        <v>0.9516</v>
      </c>
    </row>
    <row r="15" spans="1:5" x14ac:dyDescent="0.35">
      <c r="A15" s="1" t="s">
        <v>139</v>
      </c>
      <c r="B15" s="25">
        <v>5.23</v>
      </c>
      <c r="D15" s="1" t="s">
        <v>130</v>
      </c>
      <c r="E15" s="12">
        <v>0.94609999999999994</v>
      </c>
    </row>
    <row r="16" spans="1:5" x14ac:dyDescent="0.35">
      <c r="A16" s="1" t="s">
        <v>218</v>
      </c>
      <c r="B16" s="25">
        <v>6.26</v>
      </c>
      <c r="D16" s="1" t="s">
        <v>274</v>
      </c>
      <c r="E16" s="12">
        <v>0.9274</v>
      </c>
    </row>
    <row r="17" spans="1:5" x14ac:dyDescent="0.35">
      <c r="A17" s="1" t="s">
        <v>131</v>
      </c>
      <c r="B17" s="25">
        <v>12.25</v>
      </c>
      <c r="D17" s="1" t="s">
        <v>249</v>
      </c>
      <c r="E17" s="12">
        <v>0.91670000000000007</v>
      </c>
    </row>
    <row r="18" spans="1:5" x14ac:dyDescent="0.35">
      <c r="A18" s="1" t="s">
        <v>291</v>
      </c>
      <c r="B18" s="25">
        <v>53.54</v>
      </c>
      <c r="D18" s="1" t="s">
        <v>273</v>
      </c>
      <c r="E18" s="12">
        <v>0.8427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48ce8c3-b993-47c9-b26c-6cb16b467b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6387C229D18F4A87A959C5963ECF32" ma:contentTypeVersion="10" ma:contentTypeDescription="Create a new document." ma:contentTypeScope="" ma:versionID="13dbb881009bcd3679c712d414fc1dfd">
  <xsd:schema xmlns:xsd="http://www.w3.org/2001/XMLSchema" xmlns:xs="http://www.w3.org/2001/XMLSchema" xmlns:p="http://schemas.microsoft.com/office/2006/metadata/properties" xmlns:ns3="648ce8c3-b993-47c9-b26c-6cb16b467b95" targetNamespace="http://schemas.microsoft.com/office/2006/metadata/properties" ma:root="true" ma:fieldsID="34774c6df91816cddfcba56708a4d897" ns3:_="">
    <xsd:import namespace="648ce8c3-b993-47c9-b26c-6cb16b467b9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e8c3-b993-47c9-b26c-6cb16b467b9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15AC83-960E-4659-A675-0C682FE209E6}">
  <ds:schemaRefs>
    <ds:schemaRef ds:uri="http://schemas.microsoft.com/sharepoint/v3/contenttype/forms"/>
  </ds:schemaRefs>
</ds:datastoreItem>
</file>

<file path=customXml/itemProps2.xml><?xml version="1.0" encoding="utf-8"?>
<ds:datastoreItem xmlns:ds="http://schemas.openxmlformats.org/officeDocument/2006/customXml" ds:itemID="{2D71EA15-1751-49FD-BD93-9815CE4573A1}">
  <ds:schemaRefs>
    <ds:schemaRef ds:uri="648ce8c3-b993-47c9-b26c-6cb16b467b95"/>
    <ds:schemaRef ds:uri="http://schemas.microsoft.com/office/2006/metadata/propertie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219E296C-AC70-4CBB-A904-8C3AB9A42E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ce8c3-b993-47c9-b26c-6cb16b467b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00_Project_Guide</vt:lpstr>
      <vt:lpstr>10_Dashboard</vt:lpstr>
      <vt:lpstr>11_Findings</vt:lpstr>
      <vt:lpstr>01_Firm_Selection</vt:lpstr>
      <vt:lpstr>02_Raw_Opened</vt:lpstr>
      <vt:lpstr>03_Raw_Closed</vt:lpstr>
      <vt:lpstr>04_Raw_3Day</vt:lpstr>
      <vt:lpstr>05_Raw_3to8Weeks</vt:lpstr>
      <vt:lpstr>06_Raw_Upheld</vt:lpstr>
      <vt:lpstr>07_Raw_Context</vt:lpstr>
      <vt:lpstr>08_Master_Analysis</vt:lpstr>
      <vt:lpstr>09_Dashboard_Data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Odigie, Esosa G.</dc:creator>
  <cp:lastModifiedBy>Odigie, Esosa G.</cp:lastModifiedBy>
  <dcterms:created xsi:type="dcterms:W3CDTF">2026-07-22T19:16:58Z</dcterms:created>
  <dcterms:modified xsi:type="dcterms:W3CDTF">2026-10-18T22:41:37Z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0x010100636387C229D18F4A87A959C5963ECF32</vt:lpwstr>
  </property>
</Properties>
</file>